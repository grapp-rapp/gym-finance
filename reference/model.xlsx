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puts" sheetId="2" r:id="rId6"/>
    <sheet state="visible" name="Operating Costs" sheetId="3" r:id="rId7"/>
    <sheet state="visible" name="Startup &amp; Funding" sheetId="4" r:id="rId8"/>
    <sheet state="visible" name="Financing" sheetId="5" r:id="rId9"/>
    <sheet state="visible" name="Monthly Base" sheetId="6" r:id="rId10"/>
    <sheet state="visible" name="5-Year Summary" sheetId="7" r:id="rId11"/>
    <sheet state="visible" name="Owner Pay" sheetId="8" r:id="rId12"/>
    <sheet state="visible" name="Salary Scenarios" sheetId="9" r:id="rId13"/>
    <sheet state="visible" name="Monthly Cash Flow" sheetId="10" r:id="rId14"/>
    <sheet state="visible" name="Sources" sheetId="11" r:id="rId15"/>
  </sheets>
  <definedNames>
    <definedName hidden="1" localSheetId="9" name="_xlnm._FilterDatabase">'Monthly Cash Flow'!$A$6:$T$69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1">
      <text>
        <t xml:space="preserve">100% means all cash above the reserve floor is applied to debt while any debt remains.</t>
      </text>
    </comment>
    <comment authorId="0" ref="B80">
      <text>
        <t xml:space="preserve">Planning policy: approximately three months of current core ex-VAT operating cost (about ₪192k), rounded up to ₪200k for resilience and peace of mind.</t>
      </text>
    </comment>
    <comment authorId="0" ref="B79">
      <text>
        <t xml:space="preserve">Partner instruction: prioritize debt payoff even at the cost of owner salaries.</t>
      </text>
    </comment>
    <comment authorId="0" ref="B86">
      <text>
        <t xml:space="preserve">Planning gross monthly salary only. Confirm payroll, National Insurance and personal tax treatment with the accountant.</t>
      </text>
    </comment>
    <comment authorId="0" ref="B85">
      <text>
        <t xml:space="preserve">Planning gross monthly salary only. Confirm payroll, National Insurance and personal tax treatment with the accountant.</t>
      </text>
    </comment>
  </commentList>
</comments>
</file>

<file path=xl/sharedStrings.xml><?xml version="1.0" encoding="utf-8"?>
<sst xmlns="http://schemas.openxmlformats.org/spreadsheetml/2006/main" count="1058" uniqueCount="616">
  <si>
    <t>Rebuild Monthly Operating Cost - Transparent VAT Build</t>
  </si>
  <si>
    <t>Shaar Binyamin Gym - Core Inputs</t>
  </si>
  <si>
    <t>Startup Investment, VAT &amp; Working Capital</t>
  </si>
  <si>
    <t>The ₪75k run-in amount is treated as working-capital reserve rather than a separate VATable capital invoice.</t>
  </si>
  <si>
    <t>Simple operating assumptions for the 5-year model. Blue cells are editable; yellow cells are the few assumptions worth revisiting.</t>
  </si>
  <si>
    <t>Startup item</t>
  </si>
  <si>
    <t>Monthly operating plan using morning human coverage, automated evenings/weekends, outsourced cleaning and scheduled studio classes.</t>
  </si>
  <si>
    <t>Ex-VAT amount</t>
  </si>
  <si>
    <t>VATable?</t>
  </si>
  <si>
    <t>VAT</t>
  </si>
  <si>
    <t>Gross cash</t>
  </si>
  <si>
    <t>Base treatment</t>
  </si>
  <si>
    <t>Source</t>
  </si>
  <si>
    <t>Note</t>
  </si>
  <si>
    <t>Financing, VAT &amp; tax</t>
  </si>
  <si>
    <t>Business plan</t>
  </si>
  <si>
    <t>Category</t>
  </si>
  <si>
    <t>Line item</t>
  </si>
  <si>
    <t>Gross cash / mo</t>
  </si>
  <si>
    <t>Input</t>
  </si>
  <si>
    <t>VAT cash</t>
  </si>
  <si>
    <t>Y</t>
  </si>
  <si>
    <t>Ex-VAT cost</t>
  </si>
  <si>
    <t>Value</t>
  </si>
  <si>
    <t>Model note</t>
  </si>
  <si>
    <t>Unit</t>
  </si>
  <si>
    <t>Confidence</t>
  </si>
  <si>
    <t>Treatment</t>
  </si>
  <si>
    <t>Status</t>
  </si>
  <si>
    <t>Fixed</t>
  </si>
  <si>
    <t>Rent</t>
  </si>
  <si>
    <t>VAT rate</t>
  </si>
  <si>
    <t>%</t>
  </si>
  <si>
    <t>Gross prices/invoices normalized to ex-VAT for P&amp;L.</t>
  </si>
  <si>
    <t>User / source docs</t>
  </si>
  <si>
    <t>Given</t>
  </si>
  <si>
    <t>Partner 1 ownership</t>
  </si>
  <si>
    <t>Assumed 50/50 equity.</t>
  </si>
  <si>
    <t>User</t>
  </si>
  <si>
    <t>Assumption</t>
  </si>
  <si>
    <t>Partner 2 ownership</t>
  </si>
  <si>
    <t>Upfront</t>
  </si>
  <si>
    <t>Consultant</t>
  </si>
  <si>
    <t>Plans &amp; consultants</t>
  </si>
  <si>
    <t>Formula = 100% - Partner 1.</t>
  </si>
  <si>
    <t>Formula</t>
  </si>
  <si>
    <t>Loan A - interest free</t>
  </si>
  <si>
    <t>NIS</t>
  </si>
  <si>
    <t>0%; no interest/no payments during grace; 60 payments after grace.</t>
  </si>
  <si>
    <t>Loan B - Prime</t>
  </si>
  <si>
    <t>Prime-linked; no interest/no payments during grace; 60 amortizing payments after grace.</t>
  </si>
  <si>
    <t>Incl VAT; user confirmed</t>
  </si>
  <si>
    <t>BOI policy rate</t>
  </si>
  <si>
    <t>gym_dump.md</t>
  </si>
  <si>
    <t>Build / renovation</t>
  </si>
  <si>
    <t>Base</t>
  </si>
  <si>
    <t>Effective 03/09/2026.</t>
  </si>
  <si>
    <t>Bank of Israel 01/09/2026</t>
  </si>
  <si>
    <t>Current</t>
  </si>
  <si>
    <t>Arnona</t>
  </si>
  <si>
    <t>Prime spread</t>
  </si>
  <si>
    <t>N</t>
  </si>
  <si>
    <t>Prime = BOI rate + 1.5%.</t>
  </si>
  <si>
    <t>Israeli Prime convention</t>
  </si>
  <si>
    <t>Current Prime rate</t>
  </si>
  <si>
    <t>Operational equipment</t>
  </si>
  <si>
    <t>Formula.</t>
  </si>
  <si>
    <t>Grace months from funding</t>
  </si>
  <si>
    <t>Claude operating model</t>
  </si>
  <si>
    <t>Professional gym equipment</t>
  </si>
  <si>
    <t>Electricity</t>
  </si>
  <si>
    <t>months</t>
  </si>
  <si>
    <t>Build months consume part of grace.</t>
  </si>
  <si>
    <t>User + Claude timeline</t>
  </si>
  <si>
    <t>Important</t>
  </si>
  <si>
    <t>Repayment term after grace</t>
  </si>
  <si>
    <t>Eurotec quote</t>
  </si>
  <si>
    <t>5 years after grace.</t>
  </si>
  <si>
    <t>Exact quote</t>
  </si>
  <si>
    <t>Run-in reserve</t>
  </si>
  <si>
    <t>Corporate tax rate</t>
  </si>
  <si>
    <t>Simplified monthly accrual with tax-loss carryforward.</t>
  </si>
  <si>
    <t>Model</t>
  </si>
  <si>
    <t>Monthly depreciation</t>
  </si>
  <si>
    <t>NIS / month</t>
  </si>
  <si>
    <t>Tax deduction only; non-cash.</t>
  </si>
  <si>
    <t>Operating cost inflation</t>
  </si>
  <si>
    <t>Water</t>
  </si>
  <si>
    <t>% / year</t>
  </si>
  <si>
    <t>0% base to match Claude current settings.</t>
  </si>
  <si>
    <t>Model choice</t>
  </si>
  <si>
    <t>Membership price inflation</t>
  </si>
  <si>
    <t>Working-capital reserve</t>
  </si>
  <si>
    <t>Not VATable invoice in base</t>
  </si>
  <si>
    <t>Current business / reopening assumptions</t>
  </si>
  <si>
    <t>Optional extra presale marketing</t>
  </si>
  <si>
    <t>Cleaning - outsourced</t>
  </si>
  <si>
    <t>Current active paying members</t>
  </si>
  <si>
    <t>members</t>
  </si>
  <si>
    <t>Verified Aug 2026.</t>
  </si>
  <si>
    <t>Verified</t>
  </si>
  <si>
    <t>Planning capacity</t>
  </si>
  <si>
    <t>Only if activated</t>
  </si>
  <si>
    <t>Inputs</t>
  </si>
  <si>
    <t>Base zero</t>
  </si>
  <si>
    <t>Outsourced cleaning allowance</t>
  </si>
  <si>
    <t>Base planning cap for the forecast.</t>
  </si>
  <si>
    <t>User update</t>
  </si>
  <si>
    <t>Target</t>
  </si>
  <si>
    <t>Current blended fee actually collected</t>
  </si>
  <si>
    <t>Base normalized funding bridge</t>
  </si>
  <si>
    <t>NIS gross / month</t>
  </si>
  <si>
    <t>Reality check only.</t>
  </si>
  <si>
    <t>Accounting</t>
  </si>
  <si>
    <t>Closure period</t>
  </si>
  <si>
    <t>Metric</t>
  </si>
  <si>
    <t>Amount</t>
  </si>
  <si>
    <t>Full renovation closure.</t>
  </si>
  <si>
    <t>Total startup budget ex VAT incl reserve</t>
  </si>
  <si>
    <t>Retention at reopening</t>
  </si>
  <si>
    <t>% of current</t>
  </si>
  <si>
    <t>75% gives ~238; consistent with user's ~250.</t>
  </si>
  <si>
    <t>Monthly accounting allowance</t>
  </si>
  <si>
    <t>Average monthly increase to Year-1 target</t>
  </si>
  <si>
    <t>Software / CRM / access</t>
  </si>
  <si>
    <t>Reclaimable startup VAT</t>
  </si>
  <si>
    <t>Automated access stack</t>
  </si>
  <si>
    <t>Gross cash allocated incl reserve</t>
  </si>
  <si>
    <t>Phone + mobile + comms</t>
  </si>
  <si>
    <t>Total financing</t>
  </si>
  <si>
    <t>members / month</t>
  </si>
  <si>
    <t>Calculated from reopening members to the Year-1 target.</t>
  </si>
  <si>
    <t>Year 1 end member goal (linked below)</t>
  </si>
  <si>
    <t>Maintenance</t>
  </si>
  <si>
    <t>Cash headroom at funding</t>
  </si>
  <si>
    <t>Allowance</t>
  </si>
  <si>
    <t>Edit the target in the Membership growth targets section below.</t>
  </si>
  <si>
    <t>3-month closure economic cost exVAT</t>
  </si>
  <si>
    <t>Insurance</t>
  </si>
  <si>
    <t>Closure-period fixed cash cost</t>
  </si>
  <si>
    <t>Current actual; re-quote rebuilt facility</t>
  </si>
  <si>
    <t>Office / signage / sundries</t>
  </si>
  <si>
    <t>Approx. 20,018 ex-VAT.</t>
  </si>
  <si>
    <t>Closure-period economic cost</t>
  </si>
  <si>
    <t>Build VAT refund</t>
  </si>
  <si>
    <t>NIS ex VAT / month</t>
  </si>
  <si>
    <t>Use in P&amp;L/cash model; source dump selected monthly build cost.</t>
  </si>
  <si>
    <t>Membership products &amp; other revenue</t>
  </si>
  <si>
    <t>Approx cash after closure + refund</t>
  </si>
  <si>
    <t>Management fee</t>
  </si>
  <si>
    <t>Full access - gym + classes</t>
  </si>
  <si>
    <t>Main product; classes have direct revenue role.</t>
  </si>
  <si>
    <t>User + consultant</t>
  </si>
  <si>
    <t>Single service - gym OR classes</t>
  </si>
  <si>
    <t>Lower tier.</t>
  </si>
  <si>
    <t>Confirmed real</t>
  </si>
  <si>
    <t>Soldier / student program</t>
  </si>
  <si>
    <t>Staff</t>
  </si>
  <si>
    <t>Hodaya loaded payroll</t>
  </si>
  <si>
    <t>Discount tier.</t>
  </si>
  <si>
    <t>Full-access mix</t>
  </si>
  <si>
    <t>% members</t>
  </si>
  <si>
    <t>Most members at full price.</t>
  </si>
  <si>
    <t>User direction</t>
  </si>
  <si>
    <t>Single-service mix</t>
  </si>
  <si>
    <t>173 hrs × 40 + 20% employer costs</t>
  </si>
  <si>
    <t>Editable.</t>
  </si>
  <si>
    <t>Model assumption</t>
  </si>
  <si>
    <t>Studio</t>
  </si>
  <si>
    <t>27 classes/week</t>
  </si>
  <si>
    <t>Soldier mix</t>
  </si>
  <si>
    <t>Low percentage.</t>
  </si>
  <si>
    <t>Blended membership fee</t>
  </si>
  <si>
    <t>27 × 150/class; conservative non-VAT treatment</t>
  </si>
  <si>
    <t>Marketing</t>
  </si>
  <si>
    <t>Ongoing marketing</t>
  </si>
  <si>
    <t>Weighted formula.</t>
  </si>
  <si>
    <t>Existing partnerships gross</t>
  </si>
  <si>
    <t>Prefit + Mob tie-ins.</t>
  </si>
  <si>
    <t>Existing store/day passes gross</t>
  </si>
  <si>
    <t>Recurring</t>
  </si>
  <si>
    <t>Current actual.</t>
  </si>
  <si>
    <t>Base other income gross</t>
  </si>
  <si>
    <t>Monthly totals</t>
  </si>
  <si>
    <t>Claude/consultant base; below current 9,740.</t>
  </si>
  <si>
    <t>Conservative</t>
  </si>
  <si>
    <t>Upside other income gross</t>
  </si>
  <si>
    <t>Gross</t>
  </si>
  <si>
    <t>Ex-VAT</t>
  </si>
  <si>
    <t>Comment</t>
  </si>
  <si>
    <t>Core monthly operating cost</t>
  </si>
  <si>
    <t>Current partnerships + store/day passes.</t>
  </si>
  <si>
    <t>Card/payment processing</t>
  </si>
  <si>
    <t>Before variable card processing</t>
  </si>
  <si>
    <t>% gross billings</t>
  </si>
  <si>
    <t>~1% based on Jump actuals.</t>
  </si>
  <si>
    <t>Jump / gym_dump.md</t>
  </si>
  <si>
    <t>Actual-derived</t>
  </si>
  <si>
    <t>Moatza deal included?</t>
  </si>
  <si>
    <t>Card processing at ₪100k gross billings</t>
  </si>
  <si>
    <t>1% example</t>
  </si>
  <si>
    <t>0=OFF / 1=ON</t>
  </si>
  <si>
    <t>Total at ₪100k gross billings</t>
  </si>
  <si>
    <t>Base OFF.</t>
  </si>
  <si>
    <t>Hypothetical</t>
  </si>
  <si>
    <t>Moatza optional deal</t>
  </si>
  <si>
    <t>Illustrative run-rate</t>
  </si>
  <si>
    <t>Annual core operating cost</t>
  </si>
  <si>
    <t>Moatza members</t>
  </si>
  <si>
    <t>If ON, fixed block can displace organic at capacity.</t>
  </si>
  <si>
    <t>Moatza fee</t>
  </si>
  <si>
    <t>Below organic blend.</t>
  </si>
  <si>
    <t>Moatza start - operating month</t>
  </si>
  <si>
    <t>month</t>
  </si>
  <si>
    <t>Open items</t>
  </si>
  <si>
    <t>Capacity cap</t>
  </si>
  <si>
    <t>₪600 is the current actual; obtain a fresh quote for the rebuilt facility.</t>
  </si>
  <si>
    <t>Links current capacity.</t>
  </si>
  <si>
    <t>Startup liquidity assumptions</t>
  </si>
  <si>
    <t>Studio VAT</t>
  </si>
  <si>
    <t>Studio instruction is treated conservatively as non-VAT until contractor status is confirmed.</t>
  </si>
  <si>
    <t>Working-capital reserve, not VATable invoice in base.</t>
  </si>
  <si>
    <t>Consultant + audit</t>
  </si>
  <si>
    <t>Automation</t>
  </si>
  <si>
    <t>Base model assumes automated entry and no permanent evening/weekend front desk.</t>
  </si>
  <si>
    <t>NIS ex VAT</t>
  </si>
  <si>
    <t>Not added until defined campaign exists.</t>
  </si>
  <si>
    <t>Optional</t>
  </si>
  <si>
    <t>Owner salary</t>
  </si>
  <si>
    <t>Owner salaries are excluded here and tested separately on the Owner Pay tab.</t>
  </si>
  <si>
    <t>Build VAT refund lag</t>
  </si>
  <si>
    <t>timeline month</t>
  </si>
  <si>
    <t>Critical liquidity assumption.</t>
  </si>
  <si>
    <t>Operating VAT lag</t>
  </si>
  <si>
    <t>Note only; base cash uses ex-VAT economics to avoid double count.</t>
  </si>
  <si>
    <t>Minimum retained monthly cash before owner pay</t>
  </si>
  <si>
    <t>Prudence test.</t>
  </si>
  <si>
    <t>Employer load on owner salary</t>
  </si>
  <si>
    <t>% of gross salary</t>
  </si>
  <si>
    <t>Used for affordability.</t>
  </si>
  <si>
    <t>Existing staff assumption</t>
  </si>
  <si>
    <t>Membership growth targets — organic vs total incl. Moatza</t>
  </si>
  <si>
    <t>Organic member target</t>
  </si>
  <si>
    <t>Total target incl. Moatza</t>
  </si>
  <si>
    <t>Year 1 organic end member target</t>
  </si>
  <si>
    <t>Organic target; total target adds Moatza members when active by year-end.</t>
  </si>
  <si>
    <t>User target</t>
  </si>
  <si>
    <t>Year 2 organic end member target</t>
  </si>
  <si>
    <t>Planning target</t>
  </si>
  <si>
    <t>Year 3 organic end member target</t>
  </si>
  <si>
    <t>Year 4 organic end member target</t>
  </si>
  <si>
    <t>Year 5 organic end member target</t>
  </si>
  <si>
    <t>Debt payoff &amp; owner compensation policy</t>
  </si>
  <si>
    <t>Accelerated debt payoff included?</t>
  </si>
  <si>
    <t>When ON, debt is paid down through scheduled payments plus periodic lump-sum sweeps of excess cash.</t>
  </si>
  <si>
    <t>Partner policy</t>
  </si>
  <si>
    <t>Debt-sweep cash reserve target</t>
  </si>
  <si>
    <t>Cash kept in the company before any extra debt payment or owner distribution.</t>
  </si>
  <si>
    <t>Model policy</t>
  </si>
  <si>
    <t>Excess cash used at each sweep</t>
  </si>
  <si>
    <t>At each scheduled sweep date, cash above the reserve floor is used first for Loan B (Prime), then Loan A (0%).</t>
  </si>
  <si>
    <t>Extra debt sweeps not before timeline month</t>
  </si>
  <si>
    <t>No voluntary extra prepayment during the free grace period.</t>
  </si>
  <si>
    <t>Debt repayment priority</t>
  </si>
  <si>
    <t>Loan B (Prime) → Loan A (0%)</t>
  </si>
  <si>
    <t>order</t>
  </si>
  <si>
    <t>Interest-bearing debt is eliminated first, then the 0% loan for full debt freedom.</t>
  </si>
  <si>
    <t>Owner salaries enabled after debt?</t>
  </si>
  <si>
    <t>Salary begins only after total business debt reaches zero.</t>
  </si>
  <si>
    <t>Partner 1 (Gershon) equal owner salary after debt</t>
  </si>
  <si>
    <t>Both partners are modeled equally and both work in the business; Hodaya remains staff.</t>
  </si>
  <si>
    <t>Partner 2 (Yishai) equal owner salary after debt</t>
  </si>
  <si>
    <t>Equal to Partner 1; ownership and modeled owner salary are 50/50.</t>
  </si>
  <si>
    <t>Salary start rule</t>
  </si>
  <si>
    <t>Month after all debt is repaid</t>
  </si>
  <si>
    <t>rule</t>
  </si>
  <si>
    <t>Prevents salary from competing with the debt-paydown goal.</t>
  </si>
  <si>
    <t>Owner salary growth</t>
  </si>
  <si>
    <t>0% base; editable for later years.</t>
  </si>
  <si>
    <t>Distribution policy</t>
  </si>
  <si>
    <t>No automatic distributions</t>
  </si>
  <si>
    <t>policy</t>
  </si>
  <si>
    <t>Model shows cash available above the reserve once debt-free, but does not automatically pay it out.</t>
  </si>
  <si>
    <t>Debt sweep frequency</t>
  </si>
  <si>
    <t>operating months</t>
  </si>
  <si>
    <t>Cash is reviewed twice a year; any excess above reserve is paid as one lump-sum prepayment.</t>
  </si>
  <si>
    <t>First debt sweep operating month</t>
  </si>
  <si>
    <t>operating month</t>
  </si>
  <si>
    <t>First lump-sum review is at the end of operating Year 1, then every 6 months.</t>
  </si>
  <si>
    <t>Loan Schedule</t>
  </si>
  <si>
    <t>12 months from funding with no payment and no interest; the 3-month renovation period uses part of that grace.</t>
  </si>
  <si>
    <t>Loan A</t>
  </si>
  <si>
    <t>Loan B</t>
  </si>
  <si>
    <t>Total</t>
  </si>
  <si>
    <t>Principal</t>
  </si>
  <si>
    <t>Annual rate</t>
  </si>
  <si>
    <t>Grace months</t>
  </si>
  <si>
    <t>Balance after grace</t>
  </si>
  <si>
    <t>Repayment months</t>
  </si>
  <si>
    <t>Monthly payment after grace</t>
  </si>
  <si>
    <t>Total debt service after grace</t>
  </si>
  <si>
    <t>Payment starts timeline month</t>
  </si>
  <si>
    <t>Approx operating month payment starts</t>
  </si>
  <si>
    <t>63-Month funding timeline loan schedule</t>
  </si>
  <si>
    <t>Timeline Mo</t>
  </si>
  <si>
    <t>A Opening</t>
  </si>
  <si>
    <t>A Interest</t>
  </si>
  <si>
    <t>A Payment</t>
  </si>
  <si>
    <t>A Closing</t>
  </si>
  <si>
    <t>B Opening</t>
  </si>
  <si>
    <t>B Interest</t>
  </si>
  <si>
    <t>B Payment</t>
  </si>
  <si>
    <t>B Closing</t>
  </si>
  <si>
    <t>Total Payment</t>
  </si>
  <si>
    <t>63-Month Base Cash Model - 3 Build Months + 60 Operating Months</t>
  </si>
  <si>
    <t>Membership follows the editable Year 1-5 targets on Inputs. Monthly values interpolate automatically between targets, while pricing, costs, financing, VAT and owner-pay assumptions flow through the full model.</t>
  </si>
  <si>
    <t>Phase</t>
  </si>
  <si>
    <t>Operating Mo</t>
  </si>
  <si>
    <t>Organic Members</t>
  </si>
  <si>
    <t>Organic Billed</t>
  </si>
  <si>
    <t>Moatza Members</t>
  </si>
  <si>
    <t>Total Members</t>
  </si>
  <si>
    <t>Blended Organic Fee</t>
  </si>
  <si>
    <t>Membership Gross</t>
  </si>
  <si>
    <t>Other Gross</t>
  </si>
  <si>
    <t>Total Gross Billings</t>
  </si>
  <si>
    <t>Net Revenue ex VAT</t>
  </si>
  <si>
    <t>Card Fees ex VAT</t>
  </si>
  <si>
    <t>Core Opex ex VAT</t>
  </si>
  <si>
    <t>EBITDA</t>
  </si>
  <si>
    <t>Debt Service</t>
  </si>
  <si>
    <t>Shaar Binyamin Gym — Cash-First Owner Dashboard</t>
  </si>
  <si>
    <t>Loan B Interest</t>
  </si>
  <si>
    <t>Depreciation</t>
  </si>
  <si>
    <t>Taxable Before Loss</t>
  </si>
  <si>
    <t>Tax Loss CF Begin</t>
  </si>
  <si>
    <t>Taxable After Loss</t>
  </si>
  <si>
    <t>Corp Tax</t>
  </si>
  <si>
    <t>Tax Loss CF End</t>
  </si>
  <si>
    <t>Focus: what actually comes into the bank, what actually leaves, ending cash and debt. EBITDA, depreciation and DSCR remain in the detail tabs but are intentionally demoted here.</t>
  </si>
  <si>
    <t>Pre-Owner Cash</t>
  </si>
  <si>
    <t>Startup VAT Refund</t>
  </si>
  <si>
    <t>Cash Balance</t>
  </si>
  <si>
    <t>Debt Balance</t>
  </si>
  <si>
    <t>Op BE Members</t>
  </si>
  <si>
    <t>Cash position &amp; key levers</t>
  </si>
  <si>
    <t>Post-Debt BE Members</t>
  </si>
  <si>
    <t>Notes</t>
  </si>
  <si>
    <t>Cash after build + VAT refund</t>
  </si>
  <si>
    <t>Cash reserve target</t>
  </si>
  <si>
    <t>Opening debt</t>
  </si>
  <si>
    <t>Lowest post-opening cash — current base</t>
  </si>
  <si>
    <t>Debt-free operating month — current base</t>
  </si>
  <si>
    <t>Normal monthly debt payment after grace</t>
  </si>
  <si>
    <t>Year 1 modeled cash collected</t>
  </si>
  <si>
    <t>Year 1 net cash generated</t>
  </si>
  <si>
    <t>Year 1 ending bank cash</t>
  </si>
  <si>
    <t>Year 5 ending bank cash</t>
  </si>
  <si>
    <t>Year 5 debt remaining</t>
  </si>
  <si>
    <t>Year 5 cash above reserve</t>
  </si>
  <si>
    <t>Owner payroll after debt-free</t>
  </si>
  <si>
    <t>Current base owner-pay policy</t>
  </si>
  <si>
    <t>Debt-Max</t>
  </si>
  <si>
    <t>Alternative owner-pay scenarios</t>
  </si>
  <si>
    <t>See Salary Scenarios tab</t>
  </si>
  <si>
    <t>5-Year Cash In / Cash Out</t>
  </si>
  <si>
    <t>Operating year</t>
  </si>
  <si>
    <t>Cash in — modeled collections</t>
  </si>
  <si>
    <t>Operating cash out</t>
  </si>
  <si>
    <t>Debt paid</t>
  </si>
  <si>
    <t>Tax paid</t>
  </si>
  <si>
    <t>Owner payroll</t>
  </si>
  <si>
    <t>Total cash out</t>
  </si>
  <si>
    <t>Net cash generated</t>
  </si>
  <si>
    <t>Ending bank cash</t>
  </si>
  <si>
    <t>Debt remaining</t>
  </si>
  <si>
    <t>End members</t>
  </si>
  <si>
    <t>Year 1</t>
  </si>
  <si>
    <t>Year 2</t>
  </si>
  <si>
    <t>Year 3</t>
  </si>
  <si>
    <t>Year 4</t>
  </si>
  <si>
    <t>Year 5</t>
  </si>
  <si>
    <t>Cash in is gross modeled collections. Operating cash out is the day-to-day gym cash cost, card fees and net VAT effect; debt, corporate tax and owner payroll are shown separately. This table is designed to reconcile cash in minus cash out to net cash generated.</t>
  </si>
  <si>
    <t>Funding month 0</t>
  </si>
  <si>
    <t>Owner-pay choices — cash impact</t>
  </si>
  <si>
    <t>Current base</t>
  </si>
  <si>
    <t>Debt-Max — no owner salary until debt-free; ₪10k gross each after.</t>
  </si>
  <si>
    <t>Debt-free op month</t>
  </si>
  <si>
    <t>Lowest post-opening cash</t>
  </si>
  <si>
    <t>Early Balanced</t>
  </si>
  <si>
    <t>₪5k gross each from operating month 7; ₪10k each after debt-free.</t>
  </si>
  <si>
    <t>Debt sweep rule</t>
  </si>
  <si>
    <t>Keep the ₪150k reserve target; every 6 months from operating month 12, use excess cash for a lump-sum debt payment.</t>
  </si>
  <si>
    <t>Distributions</t>
  </si>
  <si>
    <t>No automatic distributions. Cash stays in the company unless the owners decide otherwise after debt and reserve needs are considered.</t>
  </si>
  <si>
    <t>Readiness checklist before signing / opening</t>
  </si>
  <si>
    <t>Item</t>
  </si>
  <si>
    <t>Why it matters</t>
  </si>
  <si>
    <t>Bank confirms early-prepayment rules / fees</t>
  </si>
  <si>
    <t>OPEN</t>
  </si>
  <si>
    <t>Critical to debt-first plan; model assumes extra payments can be made.</t>
  </si>
  <si>
    <t>Final insurance quote for rebuilt gym</t>
  </si>
  <si>
    <t>Current ₪600/month may not carry over after rebuild.</t>
  </si>
  <si>
    <t>Lease assignment, term &amp; rent escalation</t>
  </si>
  <si>
    <t>Major fixed-cost and exit-risk item.</t>
  </si>
  <si>
    <t>Contractor budget + 3-month closure timeline</t>
  </si>
  <si>
    <t>Directly affects runway and VAT-refund timing.</t>
  </si>
  <si>
    <t>Retention / presale plan for 317 members</t>
  </si>
  <si>
    <t>Reopening-member assumption is a major early risk.</t>
  </si>
  <si>
    <t>Moatza agreement terms in writing</t>
  </si>
  <si>
    <t>Currently modeled as an assumption, not signed revenue.</t>
  </si>
  <si>
    <t>Eurotec quote / final machine list / Smith machine</t>
  </si>
  <si>
    <t>Locks capex and avoids equipment-scope surprises.</t>
  </si>
  <si>
    <t>Studio instructor payroll vs invoicing status</t>
  </si>
  <si>
    <t>Changes VAT and employer-cost treatment.</t>
  </si>
  <si>
    <t>Accountant sign-off on salary / dividend policy</t>
  </si>
  <si>
    <t>Personal tax and National Insurance are outside this company model.</t>
  </si>
  <si>
    <t>Maintenance / equipment-refresh reserve policy</t>
  </si>
  <si>
    <t>Prevents mature-year cash from overstating distributable money.</t>
  </si>
  <si>
    <t>5 Operating Years - Target-Driven Plan</t>
  </si>
  <si>
    <t>Year 1 means the first 12 months AFTER reopening. The 3 build months are shown separately in the 63-month liquidity timeline.</t>
  </si>
  <si>
    <t>Operating Year 1</t>
  </si>
  <si>
    <t>Avg total members incl. Moatza</t>
  </si>
  <si>
    <t>Target-driven monthly ramp</t>
  </si>
  <si>
    <t>End total members incl. Moatza</t>
  </si>
  <si>
    <t>Gross billings</t>
  </si>
  <si>
    <t>Incl VAT</t>
  </si>
  <si>
    <t>Net revenue ex VAT</t>
  </si>
  <si>
    <t>P&amp;L revenue</t>
  </si>
  <si>
    <t>Before financing/tax</t>
  </si>
  <si>
    <t>Total debt payments incl. semiannual lump-sum prepay</t>
  </si>
  <si>
    <t>Semiannual Debt-Sweep Capital Allocation &amp; Owner Pay</t>
  </si>
  <si>
    <t>Current base case: debt-max policy with equal 50/50 owner salaries after debt. Both partners work in the business; Hodaya is staff. See Salary Scenarios for alternatives.</t>
  </si>
  <si>
    <t>Result</t>
  </si>
  <si>
    <t>Interpretation</t>
  </si>
  <si>
    <t>Grace ends during Year 1 because build consumes grace</t>
  </si>
  <si>
    <t>Corporate tax — debt-first plan</t>
  </si>
  <si>
    <t>Cash deliberately retained in the company.</t>
  </si>
  <si>
    <t>Semiannual lump-sum review; Prime debt first.</t>
  </si>
  <si>
    <t>Prime debt first, then 0% debt.</t>
  </si>
  <si>
    <t>Debt-free timeline month</t>
  </si>
  <si>
    <t>Loss-carryforward model</t>
  </si>
  <si>
    <t>Net cash after debt, tax &amp; owner salaries</t>
  </si>
  <si>
    <t>Timeline includes the renovation months.</t>
  </si>
  <si>
    <t>Debt-free operating month</t>
  </si>
  <si>
    <t>Month after reopening when total debt reaches zero.</t>
  </si>
  <si>
    <t>Salaries start operating month</t>
  </si>
  <si>
    <t>Starts the month after all debt is gone.</t>
  </si>
  <si>
    <t>After debt + tax</t>
  </si>
  <si>
    <t>Contractual DSCR</t>
  </si>
  <si>
    <t>Post-debt owner gross salaries / month</t>
  </si>
  <si>
    <t>Current base: ₪10k gross per partner, equal 50/50.</t>
  </si>
  <si>
    <t>Company owner payroll cost / month</t>
  </si>
  <si>
    <t>Includes modeled 20% employer load.</t>
  </si>
  <si>
    <t>Interest saved vs scheduled amortization</t>
  </si>
  <si>
    <t>EBITDA / debt service</t>
  </si>
  <si>
    <t>Year-end company cash — no distributions</t>
  </si>
  <si>
    <t>Estimated Loan B interest avoided by accelerated payoff.</t>
  </si>
  <si>
    <t>Contractual monthly debt service eliminated</t>
  </si>
  <si>
    <t>Monthly contractual payment freed once debt is gone.</t>
  </si>
  <si>
    <t>Year 5 company cash — no distributions</t>
  </si>
  <si>
    <t>Includes startup headroom + build VAT refund</t>
  </si>
  <si>
    <t>Year-end debt balance</t>
  </si>
  <si>
    <t>Cash remains in company unless owners choose a distribution.</t>
  </si>
  <si>
    <t>Year 5 cash available for distribution</t>
  </si>
  <si>
    <t>Above the reserve floor only; no automatic distribution modeled.</t>
  </si>
  <si>
    <t>50% per partner if fully distributed</t>
  </si>
  <si>
    <t>Cumulative net cash after debt/tax/salaries</t>
  </si>
  <si>
    <t>Before personal/dividend taxes; not automatically paid.</t>
  </si>
  <si>
    <t>Months debt eliminated early</t>
  </si>
  <si>
    <t>Excludes one-time VAT refund/headroom</t>
  </si>
  <si>
    <t>Partner 1 50% of year-end distributable cash</t>
  </si>
  <si>
    <t>Compared with the 12-month grace + 60 scheduled-payment maturity.</t>
  </si>
  <si>
    <t>63-Month Semiannual Debt-Sweep Capital Schedule</t>
  </si>
  <si>
    <t>Build VAT Refund</t>
  </si>
  <si>
    <t>Opening Cash</t>
  </si>
  <si>
    <t>Loan A Opening</t>
  </si>
  <si>
    <t>Loan B Opening</t>
  </si>
  <si>
    <t>Loan A Scheduled</t>
  </si>
  <si>
    <t>Loan B Scheduled</t>
  </si>
  <si>
    <t>Scheduled Debt</t>
  </si>
  <si>
    <t>Partner 1 Gross</t>
  </si>
  <si>
    <t>Partner 2 Gross</t>
  </si>
  <si>
    <t>Owner Payroll Cost</t>
  </si>
  <si>
    <t>Corporate Tax</t>
  </si>
  <si>
    <t>Cash Before Extra Debt</t>
  </si>
  <si>
    <t>Extra to Loan B</t>
  </si>
  <si>
    <t>Extra to Loan A</t>
  </si>
  <si>
    <t>Loan A Closing</t>
  </si>
  <si>
    <t>Loan B Closing</t>
  </si>
  <si>
    <t>Total Debt</t>
  </si>
  <si>
    <t>Ending Cash</t>
  </si>
  <si>
    <t>Not take-home</t>
  </si>
  <si>
    <t>Partner 2 50% of year-end distributable cash</t>
  </si>
  <si>
    <t>Owner gross salaries paid</t>
  </si>
  <si>
    <t>Y1</t>
  </si>
  <si>
    <t>Y2</t>
  </si>
  <si>
    <t>Y3</t>
  </si>
  <si>
    <t>Y4</t>
  </si>
  <si>
    <t>Y5</t>
  </si>
  <si>
    <t>Company owner payroll cost</t>
  </si>
  <si>
    <t>Key thresholds</t>
  </si>
  <si>
    <t>Debt service</t>
  </si>
  <si>
    <t>Pre-owner cash</t>
  </si>
  <si>
    <t>Reopening members</t>
  </si>
  <si>
    <t>75% of 317</t>
  </si>
  <si>
    <t>Operating break-even members</t>
  </si>
  <si>
    <t>Before debt / tax</t>
  </si>
  <si>
    <t>Post-debt break-even members</t>
  </si>
  <si>
    <t>After loan payments start</t>
  </si>
  <si>
    <t>Operating month payments begin</t>
  </si>
  <si>
    <t>Build months consume grace</t>
  </si>
  <si>
    <t>Operating month base reaches post-debt break-even</t>
  </si>
  <si>
    <t>Based on the target-driven membership ramp</t>
  </si>
  <si>
    <t>Operating month reaches Year-1 member target</t>
  </si>
  <si>
    <t>By design: end of operating Year 1</t>
  </si>
  <si>
    <t>Operating month reaches 600 members</t>
  </si>
  <si>
    <t>Growth milestone</t>
  </si>
  <si>
    <t>Minimum cash balance in full timeline</t>
  </si>
  <si>
    <t>Primary runway test incl. pre-refund low</t>
  </si>
  <si>
    <t>Semiannual debt-sweep plan</t>
  </si>
  <si>
    <t>Owner salaries start operating month</t>
  </si>
  <si>
    <t>Estimated interest avoided</t>
  </si>
  <si>
    <t>Cash flow freed once debt is gone</t>
  </si>
  <si>
    <t>Company monthly owner payroll after debt</t>
  </si>
  <si>
    <t>Includes employer load</t>
  </si>
  <si>
    <t>Above reserve; not automatically distributed</t>
  </si>
  <si>
    <t>Partner 1 50% if fully distributed</t>
  </si>
  <si>
    <t>Before personal/dividend tax</t>
  </si>
  <si>
    <t>Partner 2 50% if fully distributed</t>
  </si>
  <si>
    <t>Kept in company for resilience / peace of mind</t>
  </si>
  <si>
    <t>Vs scheduled maturity</t>
  </si>
  <si>
    <t>Owner Salary &amp; Debt-Payoff Scenarios</t>
  </si>
  <si>
    <t>Both partners are 50/50, both work in the business, and all modeled owner salaries are equal per partner. Hodaya remains staff. No automatic distributions are modeled while debt remains.</t>
  </si>
  <si>
    <t>Assumption / Output</t>
  </si>
  <si>
    <t>A — Debt-Max</t>
  </si>
  <si>
    <t>B — Balanced</t>
  </si>
  <si>
    <t>C — Earlier Owner Pay</t>
  </si>
  <si>
    <t>D — Early Balanced</t>
  </si>
  <si>
    <t>Pre-debt salary start operating month</t>
  </si>
  <si>
    <t>Pre-debt gross salary / partner / month</t>
  </si>
  <si>
    <t>Post-debt gross salary / partner / month</t>
  </si>
  <si>
    <t>Debt sweep frequency (operating months)</t>
  </si>
  <si>
    <t>Employer load on owner payroll</t>
  </si>
  <si>
    <t>Prime loan debt-free operating month</t>
  </si>
  <si>
    <t>First owner salary operating month</t>
  </si>
  <si>
    <t>Total owner gross salaries paid — 5 years</t>
  </si>
  <si>
    <t>Company owner payroll cost — 5 years</t>
  </si>
  <si>
    <t>Total extra lump-sum debt prepayments</t>
  </si>
  <si>
    <t>Year 5 ending debt balance</t>
  </si>
  <si>
    <t>Minimum cash balance — full timeline</t>
  </si>
  <si>
    <t>Scenario definitions</t>
  </si>
  <si>
    <t>Debt-Max: no salary before debt-free.</t>
  </si>
  <si>
    <t>Balanced: ₪5k gross each from op month 13; ₪10k each after debt-free.</t>
  </si>
  <si>
    <t>Earlier Owner Pay: ₪10k gross each from op month 7 and thereafter.</t>
  </si>
  <si>
    <t>Early Balanced: ₪5k gross each from op month 7; ₪10k each after debt-free.</t>
  </si>
  <si>
    <t>Minimum operating cash after reopening</t>
  </si>
  <si>
    <t>Current Dashboard / Owner Pay tab remains Scenario A until you choose another policy. The scenario assumptions above are editable.</t>
  </si>
  <si>
    <t>Shaar Binyamin Gym — Monthly Cash In / Cash Out</t>
  </si>
  <si>
    <t>Pure cash view of the current base case: actual modeled collections in, operating cash out, debt, tax, owner payroll, net monthly change, ending bank cash and debt. EBITDA/depreciation/DSCR are intentionally excluded here.</t>
  </si>
  <si>
    <t>Every 6 months from op month 12</t>
  </si>
  <si>
    <t>Alternative owner-pay plans</t>
  </si>
  <si>
    <t>Opening bank cash is carried from the Owner Pay schedule. “Operating cash out” is the day-to-day gym cash burden required to reconcile gross collections to cash generation before debt, tax and owner payroll; it therefore captures the modeled net VAT effect without cluttering this owner view.</t>
  </si>
  <si>
    <t>Membership Cash In</t>
  </si>
  <si>
    <t>Other Cash In</t>
  </si>
  <si>
    <t>Total Cash In</t>
  </si>
  <si>
    <t>Operating Cash Out</t>
  </si>
  <si>
    <t>Regular Debt Payment</t>
  </si>
  <si>
    <t>Lump-Sum Debt Payment</t>
  </si>
  <si>
    <t>Owner Payroll</t>
  </si>
  <si>
    <t>Total Cash Out</t>
  </si>
  <si>
    <t>Net Cash Change</t>
  </si>
  <si>
    <t>Opening Bank Cash</t>
  </si>
  <si>
    <t>Ending Bank Cash</t>
  </si>
  <si>
    <t>Debt Remaining</t>
  </si>
  <si>
    <t>Event</t>
  </si>
  <si>
    <t>Reserve Status</t>
  </si>
  <si>
    <t>Sources</t>
  </si>
  <si>
    <t>Used for</t>
  </si>
  <si>
    <t>Reference / URL</t>
  </si>
  <si>
    <t>Claude diligence dump</t>
  </si>
  <si>
    <t>Verified Jump actuals, rebuild model, tax notes, risks, sensitivity inputs</t>
  </si>
  <si>
    <t>Uploaded gym_dump.md</t>
  </si>
  <si>
    <t>Primary new source</t>
  </si>
  <si>
    <t>Consultant business plan</t>
  </si>
  <si>
    <t>Market, original budget/pricing/startup assumptions</t>
  </si>
  <si>
    <t>Uploaded PDF: תוכנית עסקית ופרוגרמה -מכון כושר -שער בנימין- גרשון ראפ-9.2026.pdf</t>
  </si>
  <si>
    <t>Original consultant source</t>
  </si>
  <si>
    <t>Eurotec quote PQ26001443</t>
  </si>
  <si>
    <t>Exact professional equipment cost and VAT</t>
  </si>
  <si>
    <t>Uploaded PDF: מועצה איזורית מטה בנימין.pdf</t>
  </si>
  <si>
    <t>399,076.27 ex VAT / 470,910 incl VAT</t>
  </si>
  <si>
    <t>Gym_Model_v17.xlsx</t>
  </si>
  <si>
    <t>Historical Jump member mix, receipts, renewal timing and legacy costs</t>
  </si>
  <si>
    <t>Uploaded workbook</t>
  </si>
  <si>
    <t>Reference / diligence</t>
  </si>
  <si>
    <t>Policy rate 3.25%</t>
  </si>
  <si>
    <t>https://www.boi.org.il/en/communication-and-publications/press-releases/01-9-26-en/</t>
  </si>
  <si>
    <t>Effective 03/09/2026</t>
  </si>
  <si>
    <t>Prime convention</t>
  </si>
  <si>
    <t>Prime = BOI policy rate + 1.5%</t>
  </si>
  <si>
    <t>https://mortgage.leumi.co.il/Articles/39</t>
  </si>
  <si>
    <t>Current modeled Prime 4.75%</t>
  </si>
  <si>
    <t>User clarification</t>
  </si>
  <si>
    <t>Grace</t>
  </si>
  <si>
    <t>This conversation</t>
  </si>
  <si>
    <t>No payments, no interest, no extra cost during grace</t>
  </si>
  <si>
    <t>Pricing</t>
  </si>
  <si>
    <t>230 full access / 190 single service / 150 soldiers</t>
  </si>
  <si>
    <t>Owner pay</t>
  </si>
  <si>
    <t>Salaries only when economically logical</t>
  </si>
  <si>
    <t>Audit treatment</t>
  </si>
  <si>
    <t>75k run-in</t>
  </si>
  <si>
    <t>This workbook</t>
  </si>
  <si>
    <t>Working-capital reserve in base, not upfront VATable invoice</t>
  </si>
  <si>
    <t>Avoids subtracting VAT twice after using ex-VAT economics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</si>
</sst>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₪ #,##0;[Red](₪ #,##0);-"/>
    <numFmt numFmtId="165" formatCode="0.0%;[Red](0.0%);-"/>
    <numFmt numFmtId="166" formatCode="#,##0;[Red](#,##0);-"/>
    <numFmt numFmtId="167" formatCode="0.0"/>
    <numFmt numFmtId="168" formatCode="0%;[Red](0%);-"/>
    <numFmt numFmtId="169" formatCode="0.00%;[Red](0.00%);-"/>
    <numFmt numFmtId="170" formatCode="0.00x"/>
  </numFmts>
  <fonts count="20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1.0"/>
      <color theme="1"/>
      <name val="Carlito"/>
    </font>
    <font>
      <b/>
      <sz val="11.0"/>
      <color rgb="FF000000"/>
      <name val="Carlito"/>
    </font>
    <font>
      <sz val="11.0"/>
      <color theme="1"/>
      <name val="Carlito"/>
    </font>
    <font>
      <b/>
      <sz val="11.0"/>
      <color theme="1"/>
      <name val="Carlito"/>
    </font>
    <font>
      <color theme="1"/>
      <name val="Carlito"/>
      <scheme val="minor"/>
    </font>
    <font>
      <b/>
      <sz val="11.0"/>
      <color rgb="FFFFFFFF"/>
      <name val="Carlito"/>
    </font>
    <font>
      <sz val="11.0"/>
      <color rgb="FF0000FF"/>
      <name val="Carlito"/>
    </font>
    <font>
      <sz val="11.0"/>
      <color rgb="FF000000"/>
      <name val="Carlito"/>
    </font>
    <font>
      <b/>
      <color rgb="FFFFFFFF"/>
      <name val="Carlito"/>
      <scheme val="minor"/>
    </font>
    <font>
      <b/>
      <color theme="1"/>
      <name val="Carlito"/>
      <scheme val="minor"/>
    </font>
    <font>
      <color rgb="FF0000FF"/>
      <name val="Carlito"/>
      <scheme val="minor"/>
    </font>
    <font>
      <color rgb="FF000000"/>
      <name val="Carlito"/>
      <scheme val="minor"/>
    </font>
    <font>
      <b/>
      <sz val="10.0"/>
      <color theme="1"/>
      <name val="Carlito"/>
    </font>
    <font>
      <sz val="10.0"/>
      <color theme="1"/>
      <name val="Carlito"/>
    </font>
    <font>
      <i/>
      <sz val="10.0"/>
      <color theme="1"/>
      <name val="Carlito"/>
    </font>
    <font>
      <b/>
      <sz val="14.0"/>
      <color rgb="FFFFFFFF"/>
      <name val="Carlito"/>
      <scheme val="minor"/>
    </font>
    <font>
      <i/>
      <color theme="1"/>
      <name val="Carlito"/>
      <scheme val="minor"/>
    </font>
    <font>
      <b/>
      <sz val="10.0"/>
      <color rgb="FFFFFFFF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AF3F8"/>
        <bgColor rgb="FFEAF3F8"/>
      </patternFill>
    </fill>
    <fill>
      <patternFill patternType="solid">
        <fgColor rgb="FFE7E6E6"/>
        <bgColor rgb="FFE7E6E6"/>
      </patternFill>
    </fill>
    <fill>
      <patternFill patternType="solid">
        <fgColor rgb="FFE2F0D9"/>
        <bgColor rgb="FFE2F0D9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1E3A63"/>
        <bgColor rgb="FF1E3A63"/>
      </patternFill>
    </fill>
    <fill>
      <patternFill patternType="solid">
        <fgColor rgb="FF385B8C"/>
        <bgColor rgb="FF385B8C"/>
      </patternFill>
    </fill>
    <fill>
      <patternFill patternType="solid">
        <fgColor rgb="FFF2F2F2"/>
        <bgColor rgb="FFF2F2F2"/>
      </patternFill>
    </fill>
  </fills>
  <borders count="2">
    <border/>
    <border>
      <bottom style="thin">
        <color rgb="FF80808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readingOrder="0" shrinkToFit="0" wrapText="1"/>
    </xf>
    <xf borderId="0" fillId="2" fontId="1" numFmtId="0" xfId="0" applyAlignment="1" applyFill="1" applyFont="1">
      <alignment horizontal="left" vertical="center"/>
    </xf>
    <xf borderId="1" fillId="4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5" fontId="5" numFmtId="0" xfId="0" applyAlignment="1" applyFill="1" applyFont="1">
      <alignment readingOrder="0" shrinkToFit="0" wrapText="1"/>
    </xf>
    <xf borderId="0" fillId="0" fontId="6" numFmtId="0" xfId="0" applyFont="1"/>
    <xf borderId="0" fillId="6" fontId="7" numFmtId="0" xfId="0" applyAlignment="1" applyFill="1" applyFont="1">
      <alignment horizontal="left" shrinkToFit="0" vertical="center" wrapText="1"/>
    </xf>
    <xf borderId="0" fillId="0" fontId="4" numFmtId="164" xfId="0" applyFont="1" applyNumberFormat="1"/>
    <xf borderId="0" fillId="0" fontId="8" numFmtId="164" xfId="0" applyFont="1" applyNumberFormat="1"/>
    <xf borderId="0" fillId="0" fontId="8" numFmtId="165" xfId="0" applyAlignment="1" applyFont="1" applyNumberFormat="1">
      <alignment shrinkToFit="0" wrapText="1"/>
    </xf>
    <xf borderId="0" fillId="0" fontId="8" numFmtId="0" xfId="0" applyFont="1"/>
    <xf borderId="0" fillId="0" fontId="4" numFmtId="165" xfId="0" applyAlignment="1" applyFont="1" applyNumberFormat="1">
      <alignment shrinkToFit="0" wrapText="1"/>
    </xf>
    <xf borderId="0" fillId="0" fontId="8" numFmtId="164" xfId="0" applyAlignment="1" applyFont="1" applyNumberFormat="1">
      <alignment shrinkToFit="0" wrapText="1"/>
    </xf>
    <xf borderId="0" fillId="7" fontId="8" numFmtId="166" xfId="0" applyAlignment="1" applyFill="1" applyFont="1" applyNumberFormat="1">
      <alignment shrinkToFit="0" wrapText="1"/>
    </xf>
    <xf borderId="0" fillId="0" fontId="8" numFmtId="166" xfId="0" applyAlignment="1" applyFont="1" applyNumberFormat="1">
      <alignment shrinkToFit="0" wrapText="1"/>
    </xf>
    <xf borderId="0" fillId="7" fontId="8" numFmtId="165" xfId="0" applyAlignment="1" applyFill="1" applyFont="1" applyNumberFormat="1">
      <alignment shrinkToFit="0" wrapText="1"/>
    </xf>
    <xf borderId="0" fillId="0" fontId="4" numFmtId="0" xfId="0" applyAlignment="1" applyFont="1">
      <alignment readingOrder="0" shrinkToFit="0" wrapText="1"/>
    </xf>
    <xf borderId="0" fillId="0" fontId="8" numFmtId="166" xfId="0" applyAlignment="1" applyFont="1" applyNumberFormat="1">
      <alignment readingOrder="0" shrinkToFit="0" wrapText="1"/>
    </xf>
    <xf borderId="0" fillId="0" fontId="6" numFmtId="0" xfId="0" applyAlignment="1" applyFont="1">
      <alignment readingOrder="0"/>
    </xf>
    <xf borderId="0" fillId="6" fontId="7" numFmtId="0" xfId="0" applyAlignment="1" applyFill="1" applyFont="1">
      <alignment horizontal="left" vertical="center"/>
    </xf>
    <xf borderId="0" fillId="7" fontId="8" numFmtId="167" xfId="0" applyAlignment="1" applyFill="1" applyFont="1" applyNumberFormat="1">
      <alignment shrinkToFit="0" wrapText="1"/>
    </xf>
    <xf borderId="0" fillId="8" fontId="9" numFmtId="166" xfId="0" applyAlignment="1" applyFill="1" applyFont="1" applyNumberFormat="1">
      <alignment readingOrder="0" shrinkToFit="0" wrapText="1"/>
    </xf>
    <xf borderId="0" fillId="7" fontId="8" numFmtId="164" xfId="0" applyAlignment="1" applyFill="1" applyFont="1" applyNumberFormat="1">
      <alignment shrinkToFit="0" wrapText="1"/>
    </xf>
    <xf borderId="0" fillId="0" fontId="8" numFmtId="164" xfId="0" applyAlignment="1" applyFont="1" applyNumberFormat="1">
      <alignment readingOrder="0" shrinkToFit="0" wrapText="1"/>
    </xf>
    <xf borderId="0" fillId="0" fontId="4" numFmtId="164" xfId="0" applyAlignment="1" applyFont="1" applyNumberFormat="1">
      <alignment shrinkToFit="0" wrapText="1"/>
    </xf>
    <xf borderId="0" fillId="6" fontId="7" numFmtId="0" xfId="0" applyAlignment="1" applyFill="1" applyFont="1">
      <alignment horizontal="left" readingOrder="0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0" fillId="0" fontId="4" numFmtId="164" xfId="0" applyAlignment="1" applyFont="1" applyNumberFormat="1">
      <alignment readingOrder="0"/>
    </xf>
    <xf borderId="0" fillId="7" fontId="8" numFmtId="166" xfId="0" applyAlignment="1" applyFill="1" applyFont="1" applyNumberFormat="1">
      <alignment readingOrder="0" shrinkToFit="0" wrapText="1"/>
    </xf>
    <xf borderId="0" fillId="7" fontId="8" numFmtId="164" xfId="0" applyAlignment="1" applyFill="1" applyFont="1" applyNumberFormat="1">
      <alignment readingOrder="0" shrinkToFit="0" wrapText="1"/>
    </xf>
    <xf borderId="0" fillId="7" fontId="5" numFmtId="0" xfId="0" applyAlignment="1" applyFill="1" applyFont="1">
      <alignment readingOrder="0" shrinkToFit="0" wrapText="1"/>
    </xf>
    <xf borderId="0" fillId="7" fontId="5" numFmtId="0" xfId="0" applyAlignment="1" applyFill="1" applyFont="1">
      <alignment shrinkToFit="0" wrapText="1"/>
    </xf>
    <xf borderId="0" fillId="0" fontId="4" numFmtId="166" xfId="0" applyAlignment="1" applyFont="1" applyNumberFormat="1">
      <alignment shrinkToFit="0" wrapText="1"/>
    </xf>
    <xf borderId="0" fillId="6" fontId="7" numFmtId="0" xfId="0" applyAlignment="1" applyFill="1" applyFont="1">
      <alignment horizontal="left" readingOrder="0" shrinkToFit="0" vertical="center" wrapText="1"/>
    </xf>
    <xf borderId="0" fillId="0" fontId="4" numFmtId="166" xfId="0" applyAlignment="1" applyFont="1" applyNumberFormat="1">
      <alignment readingOrder="0" shrinkToFit="0" wrapText="1"/>
    </xf>
    <xf borderId="0" fillId="6" fontId="10" numFmtId="0" xfId="0" applyAlignment="1" applyFill="1" applyFont="1">
      <alignment horizontal="left" vertical="center"/>
    </xf>
    <xf borderId="0" fillId="4" fontId="11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readingOrder="0" shrinkToFit="0" wrapText="1"/>
    </xf>
    <xf borderId="0" fillId="7" fontId="12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7" fontId="12" numFmtId="164" xfId="0" applyAlignment="1" applyFill="1" applyFont="1" applyNumberFormat="1">
      <alignment readingOrder="0" shrinkToFit="0" wrapText="1"/>
    </xf>
    <xf borderId="0" fillId="7" fontId="12" numFmtId="168" xfId="0" applyAlignment="1" applyFill="1" applyFont="1" applyNumberFormat="1">
      <alignment readingOrder="0" shrinkToFit="0" wrapText="1"/>
    </xf>
    <xf borderId="0" fillId="0" fontId="13" numFmtId="166" xfId="0" applyAlignment="1" applyFont="1" applyNumberFormat="1">
      <alignment shrinkToFit="0" wrapText="1"/>
    </xf>
    <xf borderId="0" fillId="0" fontId="12" numFmtId="0" xfId="0" applyAlignment="1" applyFont="1">
      <alignment readingOrder="0" shrinkToFit="0" wrapText="1"/>
    </xf>
    <xf borderId="0" fillId="7" fontId="12" numFmtId="0" xfId="0" applyAlignment="1" applyFill="1" applyFont="1">
      <alignment readingOrder="0" shrinkToFit="0" wrapText="1"/>
    </xf>
    <xf borderId="0" fillId="0" fontId="12" numFmtId="165" xfId="0" applyAlignment="1" applyFont="1" applyNumberFormat="1">
      <alignment readingOrder="0" shrinkToFit="0" wrapText="1"/>
    </xf>
    <xf borderId="0" fillId="0" fontId="4" numFmtId="165" xfId="0" applyFont="1" applyNumberFormat="1"/>
    <xf borderId="0" fillId="0" fontId="4" numFmtId="166" xfId="0" applyFont="1" applyNumberFormat="1"/>
    <xf borderId="0" fillId="2" fontId="1" numFmtId="0" xfId="0" applyAlignment="1" applyFill="1" applyFont="1">
      <alignment vertical="center"/>
    </xf>
    <xf borderId="0" fillId="5" fontId="5" numFmtId="0" xfId="0" applyAlignment="1" applyFill="1" applyFont="1">
      <alignment shrinkToFit="0" vertical="center" wrapText="1"/>
    </xf>
    <xf borderId="0" fillId="6" fontId="7" numFmtId="0" xfId="0" applyFill="1" applyFont="1"/>
    <xf borderId="0" fillId="0" fontId="4" numFmtId="0" xfId="0" applyAlignment="1" applyFont="1">
      <alignment shrinkToFit="0" vertical="center" wrapText="1"/>
    </xf>
    <xf borderId="0" fillId="7" fontId="4" numFmtId="164" xfId="0" applyAlignment="1" applyFill="1" applyFont="1" applyNumberFormat="1">
      <alignment shrinkToFit="0" vertical="center" wrapText="1"/>
    </xf>
    <xf borderId="0" fillId="7" fontId="4" numFmtId="0" xfId="0" applyAlignment="1" applyFill="1" applyFont="1">
      <alignment shrinkToFit="0" vertical="center" wrapText="1"/>
    </xf>
    <xf borderId="0" fillId="7" fontId="4" numFmtId="166" xfId="0" applyAlignment="1" applyFill="1" applyFont="1" applyNumberFormat="1">
      <alignment shrinkToFit="0" vertical="center" wrapText="1"/>
    </xf>
    <xf borderId="0" fillId="0" fontId="4" numFmtId="169" xfId="0" applyFont="1" applyNumberFormat="1"/>
    <xf borderId="0" fillId="7" fontId="4" numFmtId="49" xfId="0" applyAlignment="1" applyFill="1" applyFont="1" applyNumberFormat="1">
      <alignment shrinkToFit="0" vertical="center" wrapText="1"/>
    </xf>
    <xf borderId="0" fillId="0" fontId="4" numFmtId="166" xfId="0" applyFont="1" applyNumberFormat="1"/>
    <xf borderId="0" fillId="4" fontId="14" numFmtId="0" xfId="0" applyAlignment="1" applyFill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15" numFmtId="164" xfId="0" applyAlignment="1" applyFont="1" applyNumberFormat="1">
      <alignment shrinkToFit="0" vertical="center" wrapText="1"/>
    </xf>
    <xf borderId="0" fillId="0" fontId="15" numFmtId="166" xfId="0" applyAlignment="1" applyFont="1" applyNumberFormat="1">
      <alignment shrinkToFit="0" vertical="center" wrapText="1"/>
    </xf>
    <xf borderId="0" fillId="5" fontId="16" numFmtId="0" xfId="0" applyAlignment="1" applyFill="1" applyFont="1">
      <alignment shrinkToFit="0" wrapText="1"/>
    </xf>
    <xf borderId="0" fillId="0" fontId="4" numFmtId="164" xfId="0" applyFont="1" applyNumberFormat="1"/>
    <xf borderId="0" fillId="7" fontId="4" numFmtId="164" xfId="0" applyAlignment="1" applyFill="1" applyFont="1" applyNumberForma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6" numFmtId="164" xfId="0" applyFont="1" applyNumberFormat="1"/>
    <xf borderId="0" fillId="4" fontId="11" numFmtId="0" xfId="0" applyAlignment="1" applyFill="1" applyFont="1">
      <alignment horizontal="center" readingOrder="0" shrinkToFit="0" wrapText="1"/>
    </xf>
    <xf borderId="0" fillId="0" fontId="6" numFmtId="0" xfId="0" applyAlignment="1" applyFont="1">
      <alignment shrinkToFit="0" wrapText="1"/>
    </xf>
    <xf borderId="0" fillId="0" fontId="6" numFmtId="164" xfId="0" applyAlignment="1" applyFont="1" applyNumberFormat="1">
      <alignment shrinkToFit="0" wrapText="1"/>
    </xf>
    <xf borderId="0" fillId="6" fontId="10" numFmtId="0" xfId="0" applyAlignment="1" applyFill="1" applyFont="1">
      <alignment readingOrder="0" shrinkToFit="0" wrapText="1"/>
    </xf>
    <xf borderId="0" fillId="6" fontId="10" numFmtId="0" xfId="0" applyAlignment="1" applyFill="1" applyFont="1">
      <alignment shrinkToFit="0" wrapText="1"/>
    </xf>
    <xf borderId="0" fillId="4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shrinkToFit="0" wrapText="1"/>
    </xf>
    <xf borderId="0" fillId="5" fontId="5" numFmtId="0" xfId="0" applyAlignment="1" applyFill="1" applyFont="1">
      <alignment shrinkToFit="0" wrapText="1"/>
    </xf>
    <xf borderId="0" fillId="6" fontId="17" numFmtId="0" xfId="0" applyAlignment="1" applyFill="1" applyFont="1">
      <alignment readingOrder="0" vertical="center"/>
    </xf>
    <xf borderId="0" fillId="0" fontId="4" numFmtId="164" xfId="0" applyAlignment="1" applyFont="1" applyNumberFormat="1">
      <alignment shrinkToFit="0" wrapText="1"/>
    </xf>
    <xf borderId="0" fillId="0" fontId="18" numFmtId="0" xfId="0" applyAlignment="1" applyFont="1">
      <alignment readingOrder="0" shrinkToFit="0" wrapText="1"/>
    </xf>
    <xf borderId="0" fillId="4" fontId="11" numFmtId="0" xfId="0" applyAlignment="1" applyFill="1" applyFont="1">
      <alignment readingOrder="0" shrinkToFit="0" wrapText="1"/>
    </xf>
    <xf borderId="0" fillId="0" fontId="6" numFmtId="168" xfId="0" applyAlignment="1" applyFont="1" applyNumberFormat="1">
      <alignment shrinkToFit="0" wrapText="1"/>
    </xf>
    <xf borderId="0" fillId="0" fontId="4" numFmtId="170" xfId="0" applyAlignment="1" applyFont="1" applyNumberFormat="1">
      <alignment shrinkToFit="0" wrapText="1"/>
    </xf>
    <xf borderId="0" fillId="0" fontId="6" numFmtId="164" xfId="0" applyAlignment="1" applyFont="1" applyNumberFormat="1">
      <alignment readingOrder="0" shrinkToFit="0" wrapText="1"/>
    </xf>
    <xf borderId="0" fillId="6" fontId="10" numFmtId="0" xfId="0" applyAlignment="1" applyFill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166" xfId="0" applyFont="1" applyNumberFormat="1"/>
    <xf borderId="0" fillId="0" fontId="6" numFmtId="164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9" fontId="17" numFmtId="0" xfId="0" applyAlignment="1" applyFill="1" applyFont="1">
      <alignment readingOrder="0"/>
    </xf>
    <xf borderId="0" fillId="9" fontId="17" numFmtId="0" xfId="0" applyFill="1" applyFont="1"/>
    <xf borderId="0" fillId="10" fontId="10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165" xfId="0" applyFont="1" applyNumberFormat="1"/>
    <xf borderId="0" fillId="0" fontId="6" numFmtId="164" xfId="0" applyFont="1" applyNumberFormat="1"/>
    <xf borderId="0" fillId="0" fontId="6" numFmtId="166" xfId="0" applyFont="1" applyNumberFormat="1"/>
    <xf borderId="0" fillId="2" fontId="1" numFmtId="0" xfId="0" applyAlignment="1" applyFill="1" applyFont="1">
      <alignment horizontal="left" vertical="center"/>
    </xf>
    <xf borderId="0" fillId="7" fontId="14" numFmtId="0" xfId="0" applyAlignment="1" applyFill="1" applyFont="1">
      <alignment shrinkToFit="0" vertical="center" wrapText="1"/>
    </xf>
    <xf borderId="0" fillId="7" fontId="14" numFmtId="164" xfId="0" applyAlignment="1" applyFill="1" applyFont="1" applyNumberFormat="1">
      <alignment shrinkToFit="0" vertical="center" wrapText="1"/>
    </xf>
    <xf borderId="0" fillId="11" fontId="16" numFmtId="0" xfId="0" applyAlignment="1" applyFill="1" applyFont="1">
      <alignment shrinkToFit="0" vertical="center" wrapText="1"/>
    </xf>
    <xf borderId="0" fillId="6" fontId="19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3">
    <dxf>
      <font>
        <color rgb="FFC00000"/>
      </font>
      <fill>
        <patternFill patternType="solid">
          <fgColor rgb="FFFCE4D6"/>
          <bgColor rgb="FFFCE4D6"/>
        </patternFill>
      </fill>
      <border/>
    </dxf>
    <dxf>
      <font>
        <b/>
      </font>
      <fill>
        <patternFill patternType="solid">
          <fgColor rgb="FFDCEBF4"/>
          <bgColor rgb="FFDCEBF4"/>
        </patternFill>
      </fill>
      <border/>
    </dxf>
    <dxf>
      <font>
        <b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In vs Total Cash 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Dashboard!$A$13:$A$17</c:f>
            </c:strRef>
          </c:cat>
          <c:val>
            <c:numRef>
              <c:f>Dashboard!$B$13:$B$17</c:f>
              <c:numCache/>
            </c:numRef>
          </c:val>
        </c:ser>
        <c:ser>
          <c:idx val="1"/>
          <c:order val="1"/>
          <c:tx>
            <c:strRef>
              <c:f>Dashboard!$G$12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Dashboard!$A$13:$A$17</c:f>
            </c:strRef>
          </c:cat>
          <c:val>
            <c:numRef>
              <c:f>Dashboard!$G$13:$G$17</c:f>
              <c:numCache/>
            </c:numRef>
          </c:val>
        </c:ser>
        <c:axId val="823073135"/>
        <c:axId val="1670243744"/>
      </c:barChart>
      <c:catAx>
        <c:axId val="82307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Operating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243744"/>
      </c:catAx>
      <c:valAx>
        <c:axId val="1670243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07313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Ending Bank Cash vs Debt Remaining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Dashboard!$I$12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Dashboard!$A$13:$A$17</c:f>
            </c:strRef>
          </c:cat>
          <c:val>
            <c:numRef>
              <c:f>Dashboard!$I$13:$I$17</c:f>
              <c:numCache/>
            </c:numRef>
          </c:val>
          <c:smooth val="0"/>
        </c:ser>
        <c:ser>
          <c:idx val="1"/>
          <c:order val="1"/>
          <c:tx>
            <c:strRef>
              <c:f>Dashboard!$J$12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Dashboard!$A$13:$A$17</c:f>
            </c:strRef>
          </c:cat>
          <c:val>
            <c:numRef>
              <c:f>Dashboard!$J$13:$J$17</c:f>
              <c:numCache/>
            </c:numRef>
          </c:val>
          <c:smooth val="0"/>
        </c:ser>
        <c:axId val="1199104458"/>
        <c:axId val="1137730187"/>
      </c:lineChart>
      <c:catAx>
        <c:axId val="1199104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Operating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730187"/>
      </c:catAx>
      <c:valAx>
        <c:axId val="1137730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10445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vs End Members</a:t>
            </a:r>
          </a:p>
        </c:rich>
      </c:tx>
      <c:overlay val="0"/>
    </c:title>
    <c:plotArea>
      <c:layout/>
      <c:lineChart>
        <c:ser>
          <c:idx val="0"/>
          <c:order val="0"/>
          <c:tx>
            <c:v>Operating Year 1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'5-Year Summary'!$A$5:$A$6</c:f>
            </c:strRef>
          </c:cat>
          <c:val>
            <c:numRef>
              <c:f>'5-Year Summary'!$B$5:$B$6</c:f>
              <c:numCache/>
            </c:numRef>
          </c:val>
          <c:smooth val="0"/>
        </c:ser>
        <c:ser>
          <c:idx val="1"/>
          <c:order val="1"/>
          <c:tx>
            <c:v>Year 2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'5-Year Summary'!$A$5:$A$6</c:f>
            </c:strRef>
          </c:cat>
          <c:val>
            <c:numRef>
              <c:f>'5-Year Summary'!$C$5:$C$6</c:f>
              <c:numCache/>
            </c:numRef>
          </c:val>
          <c:smooth val="0"/>
        </c:ser>
        <c:ser>
          <c:idx val="2"/>
          <c:order val="2"/>
          <c:tx>
            <c:v>Year 3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'5-Year Summary'!$A$5:$A$6</c:f>
            </c:strRef>
          </c:cat>
          <c:val>
            <c:numRef>
              <c:f>'5-Year Summary'!$D$5:$D$6</c:f>
              <c:numCache/>
            </c:numRef>
          </c:val>
          <c:smooth val="0"/>
        </c:ser>
        <c:ser>
          <c:idx val="3"/>
          <c:order val="3"/>
          <c:tx>
            <c:v>Year 4</c:v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'5-Year Summary'!$A$5:$A$6</c:f>
            </c:strRef>
          </c:cat>
          <c:val>
            <c:numRef>
              <c:f>'5-Year Summary'!$E$5:$E$6</c:f>
              <c:numCache/>
            </c:numRef>
          </c:val>
          <c:smooth val="0"/>
        </c:ser>
        <c:ser>
          <c:idx val="4"/>
          <c:order val="4"/>
          <c:tx>
            <c:v>Year 5</c:v>
          </c:tx>
          <c:spPr>
            <a:ln cmpd="sng">
              <a:solidFill>
                <a:srgbClr val="A02B93"/>
              </a:solidFill>
            </a:ln>
          </c:spPr>
          <c:marker>
            <c:symbol val="none"/>
          </c:marker>
          <c:cat>
            <c:strRef>
              <c:f>'5-Year Summary'!$A$5:$A$6</c:f>
            </c:strRef>
          </c:cat>
          <c:val>
            <c:numRef>
              <c:f>'5-Year Summary'!$F$5:$F$6</c:f>
              <c:numCache/>
            </c:numRef>
          </c:val>
          <c:smooth val="0"/>
        </c:ser>
        <c:axId val="626859431"/>
        <c:axId val="1320215440"/>
      </c:lineChart>
      <c:catAx>
        <c:axId val="626859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215440"/>
      </c:catAx>
      <c:valAx>
        <c:axId val="1320215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85943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EBITDA / Debt / Pre-Owner Cash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Y1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'5-Year Summary'!$I$20:$I$22</c:f>
            </c:strRef>
          </c:cat>
          <c:val>
            <c:numRef>
              <c:f>'5-Year Summary'!$J$20:$J$22</c:f>
              <c:numCache/>
            </c:numRef>
          </c:val>
        </c:ser>
        <c:ser>
          <c:idx val="1"/>
          <c:order val="1"/>
          <c:tx>
            <c:v>Y2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'5-Year Summary'!$I$20:$I$22</c:f>
            </c:strRef>
          </c:cat>
          <c:val>
            <c:numRef>
              <c:f>'5-Year Summary'!$K$20:$K$22</c:f>
              <c:numCache/>
            </c:numRef>
          </c:val>
        </c:ser>
        <c:ser>
          <c:idx val="2"/>
          <c:order val="2"/>
          <c:tx>
            <c:v>Y3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'5-Year Summary'!$I$20:$I$22</c:f>
            </c:strRef>
          </c:cat>
          <c:val>
            <c:numRef>
              <c:f>'5-Year Summary'!$L$20:$L$22</c:f>
              <c:numCache/>
            </c:numRef>
          </c:val>
        </c:ser>
        <c:ser>
          <c:idx val="3"/>
          <c:order val="3"/>
          <c:tx>
            <c:v>Y4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'5-Year Summary'!$I$20:$I$22</c:f>
            </c:strRef>
          </c:cat>
          <c:val>
            <c:numRef>
              <c:f>'5-Year Summary'!$M$20:$M$22</c:f>
              <c:numCache/>
            </c:numRef>
          </c:val>
        </c:ser>
        <c:ser>
          <c:idx val="4"/>
          <c:order val="4"/>
          <c:tx>
            <c:v>Y5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'5-Year Summary'!$I$20:$I$22</c:f>
            </c:strRef>
          </c:cat>
          <c:val>
            <c:numRef>
              <c:f>'5-Year Summary'!$N$20:$N$22</c:f>
              <c:numCache/>
            </c:numRef>
          </c:val>
        </c:ser>
        <c:axId val="690103447"/>
        <c:axId val="55460699"/>
      </c:barChart>
      <c:catAx>
        <c:axId val="690103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60699"/>
      </c:catAx>
      <c:valAx>
        <c:axId val="55460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10344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0</xdr:rowOff>
    </xdr:from>
    <xdr:ext cx="6667500" cy="3238500"/>
    <xdr:graphicFrame>
      <xdr:nvGraphicFramePr>
        <xdr:cNvPr id="1" name="Chart 1" title="Cash In vs Total Cash Ou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19</xdr:row>
      <xdr:rowOff>0</xdr:rowOff>
    </xdr:from>
    <xdr:ext cx="6667500" cy="3238500"/>
    <xdr:graphicFrame>
      <xdr:nvGraphicFramePr>
        <xdr:cNvPr id="2" name="Chart 2" title="Ending Bank Cash vs Debt Remainin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0</xdr:rowOff>
    </xdr:from>
    <xdr:ext cx="8172450" cy="28003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17</xdr:row>
      <xdr:rowOff>0</xdr:rowOff>
    </xdr:from>
    <xdr:ext cx="8172450" cy="32004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4.5"/>
    <col customWidth="1" min="3" max="3" width="21.38"/>
    <col customWidth="1" min="4" max="4" width="13.25"/>
    <col customWidth="1" min="5" max="5" width="21.38"/>
    <col customWidth="1" min="6" max="6" width="13.88"/>
    <col customWidth="1" min="7" max="11" width="14.5"/>
    <col customWidth="1" min="12" max="26" width="8.63"/>
  </cols>
  <sheetData>
    <row r="1" ht="27.75" customHeight="1">
      <c r="A1" s="51" t="s">
        <v>331</v>
      </c>
    </row>
    <row r="2" ht="34.5" customHeight="1">
      <c r="A2" s="52" t="s">
        <v>339</v>
      </c>
    </row>
    <row r="4">
      <c r="A4" s="53" t="s">
        <v>345</v>
      </c>
    </row>
    <row r="5">
      <c r="A5" s="54" t="s">
        <v>348</v>
      </c>
      <c r="B5" s="55">
        <f>'Startup &amp; Funding'!B22</f>
        <v>160869.73</v>
      </c>
      <c r="C5" s="56" t="s">
        <v>349</v>
      </c>
      <c r="D5" s="55">
        <f>Inputs!B80</f>
        <v>150000</v>
      </c>
      <c r="E5" s="56" t="s">
        <v>350</v>
      </c>
      <c r="F5" s="55">
        <f>Inputs!B9+Inputs!B10</f>
        <v>1140000</v>
      </c>
      <c r="G5" s="5"/>
      <c r="H5" s="5"/>
    </row>
    <row r="6">
      <c r="A6" s="54" t="s">
        <v>351</v>
      </c>
      <c r="B6" s="55">
        <f>IFERROR(__xludf.DUMMYFUNCTION("MIN(FILTER('Owner Pay'!Z21:Z83,'Owner Pay'!C21:C83&gt;0))"),126843.9333898304)</f>
        <v>126843.9334</v>
      </c>
      <c r="C6" s="56" t="s">
        <v>352</v>
      </c>
      <c r="D6" s="57">
        <f>'Owner Pay'!B9</f>
        <v>42</v>
      </c>
      <c r="E6" s="56" t="s">
        <v>353</v>
      </c>
      <c r="F6" s="55">
        <f>Financing!D10</f>
        <v>20881.22078</v>
      </c>
      <c r="G6" s="58"/>
    </row>
    <row r="7">
      <c r="A7" s="54" t="s">
        <v>354</v>
      </c>
      <c r="B7" s="55">
        <f>'5-Year Summary'!B7</f>
        <v>998544</v>
      </c>
      <c r="C7" s="56" t="s">
        <v>355</v>
      </c>
      <c r="D7" s="55">
        <f>'5-Year Summary'!B12</f>
        <v>-10869.73</v>
      </c>
      <c r="E7" s="56" t="s">
        <v>356</v>
      </c>
      <c r="F7" s="55">
        <f>'5-Year Summary'!B14</f>
        <v>150000</v>
      </c>
      <c r="G7" s="10"/>
    </row>
    <row r="8">
      <c r="A8" s="54" t="s">
        <v>357</v>
      </c>
      <c r="B8" s="55">
        <f>'5-Year Summary'!F14</f>
        <v>1802390.757</v>
      </c>
      <c r="C8" s="56" t="s">
        <v>358</v>
      </c>
      <c r="D8" s="55">
        <f>'5-Year Summary'!F15</f>
        <v>0</v>
      </c>
      <c r="E8" s="56" t="s">
        <v>359</v>
      </c>
      <c r="F8" s="55">
        <f>MAX(0,'5-Year Summary'!F14-Inputs!B80)</f>
        <v>1652390.757</v>
      </c>
      <c r="G8" s="50"/>
    </row>
    <row r="9">
      <c r="A9" s="54" t="s">
        <v>360</v>
      </c>
      <c r="B9" s="55">
        <f>'Owner Pay'!B12</f>
        <v>24000</v>
      </c>
      <c r="C9" s="56" t="s">
        <v>361</v>
      </c>
      <c r="D9" s="59" t="s">
        <v>362</v>
      </c>
      <c r="E9" s="56" t="s">
        <v>363</v>
      </c>
      <c r="F9" s="55" t="s">
        <v>364</v>
      </c>
      <c r="G9" s="50"/>
    </row>
    <row r="10">
      <c r="A10" s="21"/>
      <c r="B10" s="60"/>
      <c r="C10" s="21"/>
      <c r="G10" s="50"/>
    </row>
    <row r="11">
      <c r="A11" s="53" t="s">
        <v>365</v>
      </c>
    </row>
    <row r="12">
      <c r="A12" s="61" t="s">
        <v>366</v>
      </c>
      <c r="B12" s="61" t="s">
        <v>367</v>
      </c>
      <c r="C12" s="61" t="s">
        <v>368</v>
      </c>
      <c r="D12" s="61" t="s">
        <v>369</v>
      </c>
      <c r="E12" s="61" t="s">
        <v>370</v>
      </c>
      <c r="F12" s="61" t="s">
        <v>371</v>
      </c>
      <c r="G12" s="61" t="s">
        <v>372</v>
      </c>
      <c r="H12" s="61" t="s">
        <v>373</v>
      </c>
      <c r="I12" s="61" t="s">
        <v>374</v>
      </c>
      <c r="J12" s="61" t="s">
        <v>375</v>
      </c>
      <c r="K12" s="61" t="s">
        <v>376</v>
      </c>
    </row>
    <row r="13">
      <c r="A13" s="62" t="s">
        <v>377</v>
      </c>
      <c r="B13" s="63">
        <f>'5-Year Summary'!B7</f>
        <v>998544</v>
      </c>
      <c r="C13" s="63">
        <f>B13-'5-Year Summary'!B9</f>
        <v>927747.2542</v>
      </c>
      <c r="D13" s="63">
        <f>'5-Year Summary'!B10</f>
        <v>81666.47576</v>
      </c>
      <c r="E13" s="63">
        <f>'5-Year Summary'!B11</f>
        <v>0</v>
      </c>
      <c r="F13" s="63">
        <f>'5-Year Summary'!B20</f>
        <v>0</v>
      </c>
      <c r="G13" s="63">
        <f t="shared" ref="G13:G17" si="1">SUM(C13:F13)</f>
        <v>1009413.73</v>
      </c>
      <c r="H13" s="63">
        <f t="shared" ref="H13:H17" si="2">B13-G13</f>
        <v>-10869.73</v>
      </c>
      <c r="I13" s="63">
        <f>'5-Year Summary'!B14</f>
        <v>150000</v>
      </c>
      <c r="J13" s="63">
        <f>'5-Year Summary'!B15</f>
        <v>1068862.656</v>
      </c>
      <c r="K13" s="64">
        <f>'5-Year Summary'!B6</f>
        <v>450</v>
      </c>
    </row>
    <row r="14">
      <c r="A14" s="62" t="s">
        <v>378</v>
      </c>
      <c r="B14" s="63">
        <f>'5-Year Summary'!C7</f>
        <v>1500294</v>
      </c>
      <c r="C14" s="63">
        <f>B14-'5-Year Summary'!C9</f>
        <v>1008537.508</v>
      </c>
      <c r="D14" s="63">
        <f>'5-Year Summary'!C10</f>
        <v>424218.2364</v>
      </c>
      <c r="E14" s="63">
        <f>'5-Year Summary'!C11</f>
        <v>67538.25514</v>
      </c>
      <c r="F14" s="63">
        <f>'5-Year Summary'!C20</f>
        <v>0</v>
      </c>
      <c r="G14" s="63">
        <f t="shared" si="1"/>
        <v>1500294</v>
      </c>
      <c r="H14" s="63">
        <f t="shared" si="2"/>
        <v>0</v>
      </c>
      <c r="I14" s="63">
        <f>'5-Year Summary'!C14</f>
        <v>150000</v>
      </c>
      <c r="J14" s="63">
        <f>'5-Year Summary'!C15</f>
        <v>679457.9376</v>
      </c>
      <c r="K14" s="64">
        <f>'5-Year Summary'!C6</f>
        <v>600</v>
      </c>
    </row>
    <row r="15">
      <c r="A15" s="62" t="s">
        <v>379</v>
      </c>
      <c r="B15" s="63">
        <f>'5-Year Summary'!D7</f>
        <v>1864899</v>
      </c>
      <c r="C15" s="63">
        <f>B15-'5-Year Summary'!D9</f>
        <v>1067245.093</v>
      </c>
      <c r="D15" s="63">
        <f>'5-Year Summary'!D10</f>
        <v>636626.7008</v>
      </c>
      <c r="E15" s="63">
        <f>'5-Year Summary'!D11</f>
        <v>161027.206</v>
      </c>
      <c r="F15" s="63">
        <f>'5-Year Summary'!D20</f>
        <v>0</v>
      </c>
      <c r="G15" s="63">
        <f t="shared" si="1"/>
        <v>1864899</v>
      </c>
      <c r="H15" s="63">
        <f t="shared" si="2"/>
        <v>0</v>
      </c>
      <c r="I15" s="63">
        <f>'5-Year Summary'!D14</f>
        <v>150000</v>
      </c>
      <c r="J15" s="63">
        <f>'5-Year Summary'!D15</f>
        <v>58610.85664</v>
      </c>
      <c r="K15" s="64">
        <f>'5-Year Summary'!D6</f>
        <v>725</v>
      </c>
    </row>
    <row r="16">
      <c r="A16" s="62" t="s">
        <v>380</v>
      </c>
      <c r="B16" s="63">
        <f>'5-Year Summary'!E7</f>
        <v>2127147</v>
      </c>
      <c r="C16" s="63">
        <f>B16-'5-Year Summary'!E9</f>
        <v>1109471.466</v>
      </c>
      <c r="D16" s="63">
        <f>'5-Year Summary'!E10</f>
        <v>58610.85664</v>
      </c>
      <c r="E16" s="63">
        <f>'5-Year Summary'!E11</f>
        <v>215261.4928</v>
      </c>
      <c r="F16" s="63">
        <f>'5-Year Summary'!E20</f>
        <v>0</v>
      </c>
      <c r="G16" s="63">
        <f t="shared" si="1"/>
        <v>1383343.816</v>
      </c>
      <c r="H16" s="63">
        <f t="shared" si="2"/>
        <v>743803.1845</v>
      </c>
      <c r="I16" s="63">
        <f>'5-Year Summary'!E14</f>
        <v>893803.1845</v>
      </c>
      <c r="J16" s="63">
        <f>'5-Year Summary'!E15</f>
        <v>0</v>
      </c>
      <c r="K16" s="64">
        <f>'5-Year Summary'!E6</f>
        <v>800</v>
      </c>
    </row>
    <row r="17">
      <c r="A17" s="62" t="s">
        <v>381</v>
      </c>
      <c r="B17" s="63">
        <f>'5-Year Summary'!F7</f>
        <v>2291498</v>
      </c>
      <c r="C17" s="63">
        <f>B17-'5-Year Summary'!F9</f>
        <v>1135934.763</v>
      </c>
      <c r="D17" s="63">
        <f>'5-Year Summary'!F10</f>
        <v>0</v>
      </c>
      <c r="E17" s="63">
        <f>'5-Year Summary'!F11</f>
        <v>246975.6646</v>
      </c>
      <c r="F17" s="63">
        <f>'5-Year Summary'!F20</f>
        <v>0</v>
      </c>
      <c r="G17" s="63">
        <f t="shared" si="1"/>
        <v>1382910.427</v>
      </c>
      <c r="H17" s="63">
        <f t="shared" si="2"/>
        <v>908587.5727</v>
      </c>
      <c r="I17" s="63">
        <f>'5-Year Summary'!F14</f>
        <v>1802390.757</v>
      </c>
      <c r="J17" s="63">
        <f>'5-Year Summary'!F15</f>
        <v>0</v>
      </c>
      <c r="K17" s="64">
        <f>'5-Year Summary'!F6</f>
        <v>850</v>
      </c>
    </row>
    <row r="18" ht="36.0" customHeight="1">
      <c r="A18" s="65" t="s">
        <v>382</v>
      </c>
    </row>
    <row r="19">
      <c r="A19" s="21"/>
      <c r="B19" s="10"/>
      <c r="C19" s="21"/>
      <c r="F19" s="21"/>
      <c r="G19" s="66"/>
      <c r="H19" s="21"/>
    </row>
    <row r="20">
      <c r="A20" s="53" t="s">
        <v>384</v>
      </c>
    </row>
    <row r="21" ht="15.75" customHeight="1">
      <c r="A21" s="54" t="s">
        <v>385</v>
      </c>
      <c r="B21" s="54" t="s">
        <v>386</v>
      </c>
      <c r="C21" s="54" t="s">
        <v>387</v>
      </c>
      <c r="D21" s="56">
        <f>'Salary Scenarios'!B13</f>
        <v>42</v>
      </c>
      <c r="E21" s="56" t="s">
        <v>388</v>
      </c>
      <c r="F21" s="67">
        <f>'Salary Scenarios'!B27</f>
        <v>126843.9334</v>
      </c>
      <c r="G21" s="66"/>
      <c r="H21" s="21"/>
    </row>
    <row r="22" ht="15.75" customHeight="1">
      <c r="A22" s="54" t="s">
        <v>389</v>
      </c>
      <c r="B22" s="54" t="s">
        <v>390</v>
      </c>
      <c r="C22" s="54" t="s">
        <v>387</v>
      </c>
      <c r="D22" s="57">
        <f>'Salary Scenarios'!E13</f>
        <v>47</v>
      </c>
      <c r="E22" s="56" t="s">
        <v>388</v>
      </c>
      <c r="F22" s="55">
        <f>'Salary Scenarios'!E27</f>
        <v>89793.06633</v>
      </c>
      <c r="G22" s="66"/>
      <c r="H22" s="21"/>
    </row>
    <row r="23" ht="15.75" customHeight="1">
      <c r="A23" s="54" t="s">
        <v>391</v>
      </c>
      <c r="B23" s="68" t="s">
        <v>392</v>
      </c>
      <c r="C23" s="54"/>
      <c r="D23" s="57"/>
      <c r="E23" s="56"/>
      <c r="F23" s="55"/>
      <c r="G23" s="69"/>
      <c r="H23" s="21"/>
    </row>
    <row r="24" ht="15.75" customHeight="1">
      <c r="A24" s="54" t="s">
        <v>393</v>
      </c>
      <c r="B24" s="54" t="s">
        <v>394</v>
      </c>
      <c r="C24" s="54"/>
      <c r="D24" s="54"/>
      <c r="E24" s="54"/>
      <c r="F24" s="54"/>
    </row>
    <row r="25" ht="15.75" customHeight="1">
      <c r="A25" s="54"/>
      <c r="B25" s="54"/>
      <c r="C25" s="54"/>
      <c r="D25" s="54"/>
      <c r="E25" s="54"/>
      <c r="F25" s="54"/>
    </row>
    <row r="26" ht="15.75" customHeight="1">
      <c r="A26" s="70"/>
      <c r="B26" s="70"/>
      <c r="C26" s="70"/>
    </row>
    <row r="27" ht="15.75" customHeight="1">
      <c r="A27" s="40"/>
      <c r="B27" s="71"/>
      <c r="C27" s="40"/>
    </row>
    <row r="28" ht="15.75" customHeight="1">
      <c r="A28" s="40"/>
      <c r="B28" s="71"/>
      <c r="C28" s="40"/>
    </row>
    <row r="29" ht="15.75" customHeight="1">
      <c r="A29" s="40"/>
      <c r="B29" s="71"/>
      <c r="C29" s="40"/>
    </row>
    <row r="30" ht="15.75" customHeight="1">
      <c r="A30" s="40"/>
      <c r="B30" s="72"/>
      <c r="C30" s="40"/>
    </row>
    <row r="31" ht="15.75" customHeight="1">
      <c r="A31" s="40"/>
      <c r="B31" s="72"/>
      <c r="C31" s="40"/>
    </row>
    <row r="32" ht="15.75" customHeight="1">
      <c r="A32" s="40"/>
      <c r="B32" s="72"/>
      <c r="C32" s="40"/>
    </row>
    <row r="33" ht="15.75" customHeight="1">
      <c r="A33" s="40"/>
      <c r="B33" s="72"/>
      <c r="C33" s="40"/>
    </row>
    <row r="34" ht="15.75" customHeight="1">
      <c r="A34" s="40"/>
      <c r="B34" s="72"/>
      <c r="C34" s="40"/>
    </row>
    <row r="35" ht="33.75" customHeight="1">
      <c r="A35" s="40"/>
      <c r="B35" s="72"/>
      <c r="C35" s="40"/>
    </row>
    <row r="36" ht="33.75" customHeight="1">
      <c r="A36" s="40"/>
      <c r="B36" s="72"/>
      <c r="C36" s="40"/>
    </row>
    <row r="37" ht="33.75" customHeight="1">
      <c r="A37" s="40"/>
      <c r="B37" s="71"/>
      <c r="C37" s="40"/>
    </row>
    <row r="38" ht="33.75" customHeight="1">
      <c r="A38" s="73"/>
      <c r="B38" s="73"/>
      <c r="C38" s="73"/>
    </row>
    <row r="39" ht="33.75" customHeight="1">
      <c r="A39" s="40"/>
      <c r="B39" s="40"/>
      <c r="C39" s="71"/>
    </row>
    <row r="40" ht="33.75" customHeight="1">
      <c r="A40" s="40"/>
      <c r="B40" s="40"/>
      <c r="C40" s="71"/>
    </row>
    <row r="41" ht="15.75" customHeight="1">
      <c r="A41" s="40"/>
      <c r="B41" s="40"/>
      <c r="C41" s="71"/>
    </row>
    <row r="42" ht="15.75" customHeight="1">
      <c r="A42" s="40"/>
      <c r="B42" s="40"/>
      <c r="C42" s="71"/>
    </row>
    <row r="43" ht="15.75" customHeight="1">
      <c r="A43" s="40"/>
      <c r="B43" s="40"/>
      <c r="C43" s="71"/>
    </row>
    <row r="44" ht="15.75" customHeight="1">
      <c r="A44" s="71"/>
      <c r="B44" s="71"/>
      <c r="C44" s="71"/>
    </row>
    <row r="45" ht="15.75" customHeight="1">
      <c r="A45" s="74" t="s">
        <v>395</v>
      </c>
    </row>
    <row r="46" ht="15.75" customHeight="1">
      <c r="A46" s="75" t="s">
        <v>396</v>
      </c>
      <c r="B46" s="75" t="s">
        <v>28</v>
      </c>
      <c r="C46" s="75" t="s">
        <v>397</v>
      </c>
    </row>
    <row r="47" ht="15.75" customHeight="1">
      <c r="A47" s="40" t="s">
        <v>398</v>
      </c>
      <c r="B47" s="76" t="s">
        <v>399</v>
      </c>
      <c r="C47" s="40" t="s">
        <v>400</v>
      </c>
    </row>
    <row r="48" ht="15.75" customHeight="1">
      <c r="A48" s="40" t="s">
        <v>401</v>
      </c>
      <c r="B48" s="76" t="s">
        <v>399</v>
      </c>
      <c r="C48" s="40" t="s">
        <v>402</v>
      </c>
    </row>
    <row r="49" ht="15.75" customHeight="1">
      <c r="A49" s="40" t="s">
        <v>403</v>
      </c>
      <c r="B49" s="76" t="s">
        <v>399</v>
      </c>
      <c r="C49" s="40" t="s">
        <v>404</v>
      </c>
    </row>
    <row r="50" ht="15.75" customHeight="1">
      <c r="A50" s="40" t="s">
        <v>405</v>
      </c>
      <c r="B50" s="76" t="s">
        <v>399</v>
      </c>
      <c r="C50" s="40" t="s">
        <v>406</v>
      </c>
    </row>
    <row r="51" ht="15.75" customHeight="1">
      <c r="A51" s="40" t="s">
        <v>407</v>
      </c>
      <c r="B51" s="76" t="s">
        <v>399</v>
      </c>
      <c r="C51" s="40" t="s">
        <v>408</v>
      </c>
    </row>
    <row r="52" ht="15.75" customHeight="1">
      <c r="A52" s="40" t="s">
        <v>409</v>
      </c>
      <c r="B52" s="76" t="s">
        <v>399</v>
      </c>
      <c r="C52" s="40" t="s">
        <v>410</v>
      </c>
    </row>
    <row r="53" ht="15.75" customHeight="1">
      <c r="A53" s="40" t="s">
        <v>411</v>
      </c>
      <c r="B53" s="76" t="s">
        <v>399</v>
      </c>
      <c r="C53" s="40" t="s">
        <v>412</v>
      </c>
    </row>
    <row r="54" ht="15.75" customHeight="1">
      <c r="A54" s="40" t="s">
        <v>413</v>
      </c>
      <c r="B54" s="76" t="s">
        <v>399</v>
      </c>
      <c r="C54" s="40" t="s">
        <v>414</v>
      </c>
    </row>
    <row r="55" ht="15.75" customHeight="1">
      <c r="A55" s="40" t="s">
        <v>415</v>
      </c>
      <c r="B55" s="76" t="s">
        <v>399</v>
      </c>
      <c r="C55" s="40" t="s">
        <v>416</v>
      </c>
    </row>
    <row r="56" ht="15.75" customHeight="1">
      <c r="A56" s="40" t="s">
        <v>417</v>
      </c>
      <c r="B56" s="76" t="s">
        <v>399</v>
      </c>
      <c r="C56" s="40" t="s">
        <v>418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K1"/>
    <mergeCell ref="A2:K2"/>
    <mergeCell ref="A4:K4"/>
    <mergeCell ref="A11:K11"/>
    <mergeCell ref="A18:K18"/>
    <mergeCell ref="A20:K20"/>
    <mergeCell ref="A45:C45"/>
  </mergeCells>
  <conditionalFormatting sqref="G17 G19 G21:G22">
    <cfRule type="expression" dxfId="0" priority="1">
      <formula>G17&lt;0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38"/>
    <col customWidth="1" min="2" max="2" width="19.0"/>
    <col customWidth="1" min="3" max="3" width="20.0"/>
    <col customWidth="1" min="4" max="4" width="60.13"/>
    <col customWidth="1" min="5" max="5" width="34.0"/>
    <col customWidth="1" min="6" max="6" width="16.0"/>
    <col customWidth="1" min="7" max="26" width="8.63"/>
  </cols>
  <sheetData>
    <row r="1" ht="27.75" customHeight="1">
      <c r="A1" s="2" t="s">
        <v>1</v>
      </c>
    </row>
    <row r="2">
      <c r="A2" s="3" t="s">
        <v>4</v>
      </c>
    </row>
    <row r="3">
      <c r="A3" s="6"/>
      <c r="B3" s="6"/>
      <c r="C3" s="6"/>
      <c r="D3" s="6"/>
      <c r="E3" s="6"/>
      <c r="F3" s="6"/>
    </row>
    <row r="4">
      <c r="A4" s="9" t="s">
        <v>14</v>
      </c>
    </row>
    <row r="5">
      <c r="A5" s="5" t="s">
        <v>19</v>
      </c>
      <c r="B5" s="5" t="s">
        <v>23</v>
      </c>
      <c r="C5" s="5" t="s">
        <v>25</v>
      </c>
      <c r="D5" s="5" t="s">
        <v>27</v>
      </c>
      <c r="E5" s="5" t="s">
        <v>12</v>
      </c>
      <c r="F5" s="5" t="s">
        <v>28</v>
      </c>
    </row>
    <row r="6">
      <c r="A6" s="6" t="s">
        <v>31</v>
      </c>
      <c r="B6" s="12">
        <v>0.18</v>
      </c>
      <c r="C6" s="6" t="s">
        <v>32</v>
      </c>
      <c r="D6" s="6" t="s">
        <v>33</v>
      </c>
      <c r="E6" s="6" t="s">
        <v>34</v>
      </c>
      <c r="F6" s="6" t="s">
        <v>35</v>
      </c>
    </row>
    <row r="7">
      <c r="A7" s="6" t="s">
        <v>36</v>
      </c>
      <c r="B7" s="12">
        <v>0.5</v>
      </c>
      <c r="C7" s="6" t="s">
        <v>32</v>
      </c>
      <c r="D7" s="6" t="s">
        <v>37</v>
      </c>
      <c r="E7" s="6" t="s">
        <v>38</v>
      </c>
      <c r="F7" s="6" t="s">
        <v>39</v>
      </c>
    </row>
    <row r="8">
      <c r="A8" s="6" t="s">
        <v>40</v>
      </c>
      <c r="B8" s="14">
        <f>1-B7</f>
        <v>0.5</v>
      </c>
      <c r="C8" s="6" t="s">
        <v>32</v>
      </c>
      <c r="D8" s="6" t="s">
        <v>44</v>
      </c>
      <c r="E8" s="6" t="s">
        <v>45</v>
      </c>
      <c r="F8" s="6" t="s">
        <v>45</v>
      </c>
    </row>
    <row r="9">
      <c r="A9" s="6" t="s">
        <v>46</v>
      </c>
      <c r="B9" s="15">
        <v>240000.0</v>
      </c>
      <c r="C9" s="6" t="s">
        <v>47</v>
      </c>
      <c r="D9" s="6" t="s">
        <v>48</v>
      </c>
      <c r="E9" s="6" t="s">
        <v>38</v>
      </c>
      <c r="F9" s="6" t="s">
        <v>35</v>
      </c>
    </row>
    <row r="10">
      <c r="A10" s="6" t="s">
        <v>49</v>
      </c>
      <c r="B10" s="15">
        <v>900000.0</v>
      </c>
      <c r="C10" s="6" t="s">
        <v>47</v>
      </c>
      <c r="D10" s="6" t="s">
        <v>50</v>
      </c>
      <c r="E10" s="6" t="s">
        <v>38</v>
      </c>
      <c r="F10" s="6" t="s">
        <v>35</v>
      </c>
    </row>
    <row r="11">
      <c r="A11" s="6" t="s">
        <v>52</v>
      </c>
      <c r="B11" s="12">
        <v>0.0325</v>
      </c>
      <c r="C11" s="6" t="s">
        <v>32</v>
      </c>
      <c r="D11" s="6" t="s">
        <v>56</v>
      </c>
      <c r="E11" s="6" t="s">
        <v>57</v>
      </c>
      <c r="F11" s="6" t="s">
        <v>58</v>
      </c>
    </row>
    <row r="12">
      <c r="A12" s="6" t="s">
        <v>60</v>
      </c>
      <c r="B12" s="12">
        <v>0.015</v>
      </c>
      <c r="C12" s="6" t="s">
        <v>32</v>
      </c>
      <c r="D12" s="6" t="s">
        <v>62</v>
      </c>
      <c r="E12" s="6" t="s">
        <v>63</v>
      </c>
      <c r="F12" s="6" t="s">
        <v>58</v>
      </c>
    </row>
    <row r="13">
      <c r="A13" s="6" t="s">
        <v>64</v>
      </c>
      <c r="B13" s="14">
        <f>B11+B12</f>
        <v>0.0475</v>
      </c>
      <c r="C13" s="6" t="s">
        <v>32</v>
      </c>
      <c r="D13" s="6" t="s">
        <v>66</v>
      </c>
      <c r="E13" s="6" t="s">
        <v>45</v>
      </c>
      <c r="F13" s="6" t="s">
        <v>45</v>
      </c>
    </row>
    <row r="15">
      <c r="A15" s="6" t="s">
        <v>67</v>
      </c>
      <c r="B15" s="16">
        <v>12.0</v>
      </c>
      <c r="C15" s="6" t="s">
        <v>71</v>
      </c>
      <c r="D15" s="6" t="s">
        <v>72</v>
      </c>
      <c r="E15" s="6" t="s">
        <v>73</v>
      </c>
      <c r="F15" s="6" t="s">
        <v>74</v>
      </c>
    </row>
    <row r="16">
      <c r="A16" s="6" t="s">
        <v>75</v>
      </c>
      <c r="B16" s="17">
        <v>60.0</v>
      </c>
      <c r="C16" s="6" t="s">
        <v>71</v>
      </c>
      <c r="D16" s="6" t="s">
        <v>77</v>
      </c>
      <c r="E16" s="6" t="s">
        <v>38</v>
      </c>
      <c r="F16" s="6" t="s">
        <v>35</v>
      </c>
    </row>
    <row r="17">
      <c r="A17" s="6" t="s">
        <v>80</v>
      </c>
      <c r="B17" s="12">
        <v>0.23</v>
      </c>
      <c r="C17" s="6" t="s">
        <v>32</v>
      </c>
      <c r="D17" s="6" t="s">
        <v>81</v>
      </c>
      <c r="E17" s="6" t="s">
        <v>53</v>
      </c>
      <c r="F17" s="6" t="s">
        <v>82</v>
      </c>
    </row>
    <row r="18">
      <c r="A18" s="6" t="s">
        <v>83</v>
      </c>
      <c r="B18" s="15">
        <v>6813.0</v>
      </c>
      <c r="C18" s="6" t="s">
        <v>84</v>
      </c>
      <c r="D18" s="6" t="s">
        <v>85</v>
      </c>
      <c r="E18" s="6" t="s">
        <v>53</v>
      </c>
      <c r="F18" s="6" t="s">
        <v>82</v>
      </c>
    </row>
    <row r="19">
      <c r="A19" s="6" t="s">
        <v>86</v>
      </c>
      <c r="B19" s="18">
        <v>0.0</v>
      </c>
      <c r="C19" s="6" t="s">
        <v>88</v>
      </c>
      <c r="D19" s="6" t="s">
        <v>89</v>
      </c>
      <c r="E19" s="6" t="s">
        <v>90</v>
      </c>
      <c r="F19" s="6" t="s">
        <v>39</v>
      </c>
    </row>
    <row r="20">
      <c r="A20" s="6" t="s">
        <v>91</v>
      </c>
      <c r="B20" s="18">
        <v>0.0</v>
      </c>
      <c r="C20" s="6" t="s">
        <v>88</v>
      </c>
      <c r="D20" s="6" t="s">
        <v>89</v>
      </c>
      <c r="E20" s="6" t="s">
        <v>90</v>
      </c>
      <c r="F20" s="6" t="s">
        <v>39</v>
      </c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9" t="s">
        <v>94</v>
      </c>
    </row>
    <row r="23" ht="15.75" customHeight="1">
      <c r="A23" s="5" t="s">
        <v>19</v>
      </c>
      <c r="B23" s="5" t="s">
        <v>23</v>
      </c>
      <c r="C23" s="5" t="s">
        <v>25</v>
      </c>
      <c r="D23" s="5" t="s">
        <v>27</v>
      </c>
      <c r="E23" s="5" t="s">
        <v>12</v>
      </c>
      <c r="F23" s="5" t="s">
        <v>28</v>
      </c>
    </row>
    <row r="24" ht="15.75" customHeight="1">
      <c r="A24" s="6" t="s">
        <v>97</v>
      </c>
      <c r="B24" s="17">
        <v>317.0</v>
      </c>
      <c r="C24" s="6" t="s">
        <v>98</v>
      </c>
      <c r="D24" s="6" t="s">
        <v>99</v>
      </c>
      <c r="E24" s="6" t="s">
        <v>53</v>
      </c>
      <c r="F24" s="6" t="s">
        <v>100</v>
      </c>
    </row>
    <row r="25" ht="15.75" customHeight="1">
      <c r="A25" s="19" t="s">
        <v>101</v>
      </c>
      <c r="B25" s="20">
        <v>850.0</v>
      </c>
      <c r="C25" s="19" t="s">
        <v>98</v>
      </c>
      <c r="D25" s="19" t="s">
        <v>106</v>
      </c>
      <c r="E25" s="19" t="s">
        <v>107</v>
      </c>
      <c r="F25" s="19" t="s">
        <v>108</v>
      </c>
    </row>
    <row r="26" ht="15.75" customHeight="1">
      <c r="A26" s="6" t="s">
        <v>109</v>
      </c>
      <c r="B26" s="17">
        <v>206.0</v>
      </c>
      <c r="C26" s="6" t="s">
        <v>111</v>
      </c>
      <c r="D26" s="6" t="s">
        <v>112</v>
      </c>
      <c r="E26" s="6" t="s">
        <v>53</v>
      </c>
      <c r="F26" s="6" t="s">
        <v>100</v>
      </c>
    </row>
    <row r="27" ht="15.75" customHeight="1">
      <c r="A27" s="6" t="s">
        <v>114</v>
      </c>
      <c r="B27" s="16">
        <v>3.0</v>
      </c>
      <c r="C27" s="6" t="s">
        <v>71</v>
      </c>
      <c r="D27" s="6" t="s">
        <v>117</v>
      </c>
      <c r="E27" s="6" t="s">
        <v>53</v>
      </c>
      <c r="F27" s="6" t="s">
        <v>39</v>
      </c>
    </row>
    <row r="28" ht="15.75" customHeight="1">
      <c r="A28" s="6" t="s">
        <v>119</v>
      </c>
      <c r="B28" s="18">
        <v>0.75</v>
      </c>
      <c r="C28" s="6" t="s">
        <v>120</v>
      </c>
      <c r="D28" s="6" t="s">
        <v>121</v>
      </c>
      <c r="E28" s="6" t="s">
        <v>53</v>
      </c>
      <c r="F28" s="6" t="s">
        <v>39</v>
      </c>
    </row>
    <row r="29" ht="15.75" customHeight="1">
      <c r="A29" s="19" t="s">
        <v>123</v>
      </c>
      <c r="B29" s="23">
        <f>(B70-ROUND(B24*B28,0))/11</f>
        <v>19.27272727</v>
      </c>
      <c r="C29" s="19" t="s">
        <v>130</v>
      </c>
      <c r="D29" s="19" t="s">
        <v>131</v>
      </c>
      <c r="E29" s="19" t="s">
        <v>82</v>
      </c>
      <c r="F29" s="19" t="s">
        <v>45</v>
      </c>
    </row>
    <row r="30" ht="15.75" customHeight="1">
      <c r="A30" s="19" t="s">
        <v>132</v>
      </c>
      <c r="B30" s="24">
        <f>B70</f>
        <v>450</v>
      </c>
      <c r="C30" s="19" t="s">
        <v>98</v>
      </c>
      <c r="D30" s="19" t="s">
        <v>136</v>
      </c>
      <c r="E30" s="19" t="s">
        <v>45</v>
      </c>
      <c r="F30" s="19" t="s">
        <v>45</v>
      </c>
    </row>
    <row r="31" ht="15.75" customHeight="1">
      <c r="A31" s="6"/>
      <c r="B31" s="16"/>
      <c r="C31" s="6"/>
      <c r="D31" s="6"/>
      <c r="E31" s="6"/>
      <c r="F31" s="6"/>
    </row>
    <row r="32" ht="15.75" customHeight="1">
      <c r="A32" s="6"/>
      <c r="B32" s="16"/>
      <c r="C32" s="6"/>
      <c r="D32" s="6"/>
      <c r="E32" s="6"/>
      <c r="F32" s="6"/>
    </row>
    <row r="33" ht="15.75" customHeight="1">
      <c r="A33" s="6" t="s">
        <v>139</v>
      </c>
      <c r="B33" s="25">
        <v>22000.0</v>
      </c>
      <c r="C33" s="6" t="s">
        <v>111</v>
      </c>
      <c r="D33" s="6" t="s">
        <v>142</v>
      </c>
      <c r="E33" s="6" t="s">
        <v>53</v>
      </c>
      <c r="F33" s="6" t="s">
        <v>82</v>
      </c>
    </row>
    <row r="34" ht="15.75" customHeight="1">
      <c r="A34" s="6" t="s">
        <v>143</v>
      </c>
      <c r="B34" s="25">
        <v>20018.0</v>
      </c>
      <c r="C34" s="6" t="s">
        <v>145</v>
      </c>
      <c r="D34" s="6" t="s">
        <v>146</v>
      </c>
      <c r="E34" s="6" t="s">
        <v>53</v>
      </c>
      <c r="F34" s="6" t="s">
        <v>82</v>
      </c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9" t="s">
        <v>147</v>
      </c>
    </row>
    <row r="37" ht="15.75" customHeight="1">
      <c r="A37" s="5" t="s">
        <v>19</v>
      </c>
      <c r="B37" s="5" t="s">
        <v>23</v>
      </c>
      <c r="C37" s="5" t="s">
        <v>25</v>
      </c>
      <c r="D37" s="5" t="s">
        <v>27</v>
      </c>
      <c r="E37" s="5" t="s">
        <v>12</v>
      </c>
      <c r="F37" s="5" t="s">
        <v>28</v>
      </c>
    </row>
    <row r="38" ht="15.75" customHeight="1">
      <c r="A38" s="6" t="s">
        <v>150</v>
      </c>
      <c r="B38" s="15">
        <v>230.0</v>
      </c>
      <c r="C38" s="6" t="s">
        <v>111</v>
      </c>
      <c r="D38" s="6" t="s">
        <v>151</v>
      </c>
      <c r="E38" s="6" t="s">
        <v>152</v>
      </c>
      <c r="F38" s="6" t="s">
        <v>35</v>
      </c>
    </row>
    <row r="39" ht="15.75" customHeight="1">
      <c r="A39" s="6" t="s">
        <v>153</v>
      </c>
      <c r="B39" s="26">
        <v>200.0</v>
      </c>
      <c r="C39" s="6" t="s">
        <v>111</v>
      </c>
      <c r="D39" s="6" t="s">
        <v>154</v>
      </c>
      <c r="E39" s="6" t="s">
        <v>38</v>
      </c>
      <c r="F39" s="6" t="s">
        <v>39</v>
      </c>
    </row>
    <row r="40" ht="15.75" customHeight="1">
      <c r="A40" s="6" t="s">
        <v>156</v>
      </c>
      <c r="B40" s="15">
        <v>150.0</v>
      </c>
      <c r="C40" s="6" t="s">
        <v>111</v>
      </c>
      <c r="D40" s="6" t="s">
        <v>159</v>
      </c>
      <c r="E40" s="6" t="s">
        <v>152</v>
      </c>
      <c r="F40" s="6" t="s">
        <v>35</v>
      </c>
    </row>
    <row r="41" ht="15.75" customHeight="1">
      <c r="A41" s="6" t="s">
        <v>160</v>
      </c>
      <c r="B41" s="18">
        <v>0.85</v>
      </c>
      <c r="C41" s="6" t="s">
        <v>161</v>
      </c>
      <c r="D41" s="6" t="s">
        <v>162</v>
      </c>
      <c r="E41" s="6" t="s">
        <v>163</v>
      </c>
      <c r="F41" s="6" t="s">
        <v>39</v>
      </c>
    </row>
    <row r="42" ht="15.75" customHeight="1">
      <c r="A42" s="6" t="s">
        <v>164</v>
      </c>
      <c r="B42" s="18">
        <v>0.1</v>
      </c>
      <c r="C42" s="6" t="s">
        <v>161</v>
      </c>
      <c r="D42" s="6" t="s">
        <v>166</v>
      </c>
      <c r="E42" s="6" t="s">
        <v>167</v>
      </c>
      <c r="F42" s="6" t="s">
        <v>39</v>
      </c>
    </row>
    <row r="43" ht="15.75" customHeight="1">
      <c r="A43" s="6" t="s">
        <v>170</v>
      </c>
      <c r="B43" s="18">
        <v>0.05</v>
      </c>
      <c r="C43" s="6" t="s">
        <v>161</v>
      </c>
      <c r="D43" s="6" t="s">
        <v>171</v>
      </c>
      <c r="E43" s="6" t="s">
        <v>163</v>
      </c>
      <c r="F43" s="6" t="s">
        <v>39</v>
      </c>
    </row>
    <row r="44" ht="15.75" customHeight="1">
      <c r="A44" s="6" t="s">
        <v>172</v>
      </c>
      <c r="B44" s="27">
        <f>B38*B41+B39*B42+B40*B43</f>
        <v>223</v>
      </c>
      <c r="C44" s="6" t="s">
        <v>111</v>
      </c>
      <c r="D44" s="6" t="s">
        <v>176</v>
      </c>
      <c r="E44" s="6" t="s">
        <v>45</v>
      </c>
      <c r="F44" s="6" t="s">
        <v>45</v>
      </c>
    </row>
    <row r="45" ht="15.75" customHeight="1">
      <c r="A45" s="6" t="s">
        <v>177</v>
      </c>
      <c r="B45" s="15">
        <v>8160.0</v>
      </c>
      <c r="C45" s="6" t="s">
        <v>84</v>
      </c>
      <c r="D45" s="6" t="s">
        <v>178</v>
      </c>
      <c r="E45" s="6" t="s">
        <v>53</v>
      </c>
      <c r="F45" s="6" t="s">
        <v>100</v>
      </c>
    </row>
    <row r="46" ht="15.75" customHeight="1">
      <c r="A46" s="6" t="s">
        <v>179</v>
      </c>
      <c r="B46" s="15">
        <v>1580.0</v>
      </c>
      <c r="C46" s="6" t="s">
        <v>84</v>
      </c>
      <c r="D46" s="6" t="s">
        <v>181</v>
      </c>
      <c r="E46" s="6" t="s">
        <v>53</v>
      </c>
      <c r="F46" s="6" t="s">
        <v>100</v>
      </c>
    </row>
    <row r="47" ht="15.75" customHeight="1">
      <c r="A47" s="6" t="s">
        <v>182</v>
      </c>
      <c r="B47" s="25">
        <v>6500.0</v>
      </c>
      <c r="C47" s="6" t="s">
        <v>84</v>
      </c>
      <c r="D47" s="6" t="s">
        <v>184</v>
      </c>
      <c r="E47" s="6" t="s">
        <v>53</v>
      </c>
      <c r="F47" s="6" t="s">
        <v>185</v>
      </c>
    </row>
    <row r="48" ht="15.75" customHeight="1">
      <c r="A48" s="6" t="s">
        <v>186</v>
      </c>
      <c r="B48" s="27">
        <f>B45+B46</f>
        <v>9740</v>
      </c>
      <c r="C48" s="6" t="s">
        <v>84</v>
      </c>
      <c r="D48" s="6" t="s">
        <v>191</v>
      </c>
      <c r="E48" s="6" t="s">
        <v>45</v>
      </c>
      <c r="F48" s="6" t="s">
        <v>45</v>
      </c>
    </row>
    <row r="49" ht="15.75" customHeight="1">
      <c r="A49" s="6" t="s">
        <v>192</v>
      </c>
      <c r="B49" s="18">
        <v>0.01</v>
      </c>
      <c r="C49" s="6" t="s">
        <v>194</v>
      </c>
      <c r="D49" s="6" t="s">
        <v>195</v>
      </c>
      <c r="E49" s="6" t="s">
        <v>196</v>
      </c>
      <c r="F49" s="6" t="s">
        <v>197</v>
      </c>
    </row>
    <row r="50" ht="15.75" customHeight="1">
      <c r="A50" s="6" t="s">
        <v>198</v>
      </c>
      <c r="B50" s="31">
        <v>0.0</v>
      </c>
      <c r="C50" s="6" t="s">
        <v>201</v>
      </c>
      <c r="D50" s="6" t="s">
        <v>203</v>
      </c>
      <c r="E50" s="6" t="s">
        <v>53</v>
      </c>
      <c r="F50" s="6" t="s">
        <v>204</v>
      </c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9" t="s">
        <v>205</v>
      </c>
    </row>
    <row r="53" ht="15.75" customHeight="1">
      <c r="A53" s="5" t="s">
        <v>19</v>
      </c>
      <c r="B53" s="5" t="s">
        <v>23</v>
      </c>
      <c r="C53" s="5" t="s">
        <v>25</v>
      </c>
      <c r="D53" s="5" t="s">
        <v>27</v>
      </c>
      <c r="E53" s="5" t="s">
        <v>12</v>
      </c>
      <c r="F53" s="5" t="s">
        <v>28</v>
      </c>
    </row>
    <row r="54" ht="15.75" customHeight="1">
      <c r="A54" s="6" t="s">
        <v>208</v>
      </c>
      <c r="B54" s="16">
        <v>300.0</v>
      </c>
      <c r="C54" s="6" t="s">
        <v>98</v>
      </c>
      <c r="D54" s="6" t="s">
        <v>209</v>
      </c>
      <c r="E54" s="6" t="s">
        <v>53</v>
      </c>
      <c r="F54" s="6" t="s">
        <v>204</v>
      </c>
    </row>
    <row r="55" ht="15.75" customHeight="1">
      <c r="A55" s="6" t="s">
        <v>210</v>
      </c>
      <c r="B55" s="32">
        <v>190.0</v>
      </c>
      <c r="C55" s="6" t="s">
        <v>111</v>
      </c>
      <c r="D55" s="6" t="s">
        <v>211</v>
      </c>
      <c r="E55" s="6" t="s">
        <v>53</v>
      </c>
      <c r="F55" s="6" t="s">
        <v>204</v>
      </c>
    </row>
    <row r="56" ht="15.75" customHeight="1">
      <c r="A56" s="6" t="s">
        <v>212</v>
      </c>
      <c r="B56" s="31">
        <v>8.0</v>
      </c>
      <c r="C56" s="6" t="s">
        <v>213</v>
      </c>
      <c r="D56" s="6" t="s">
        <v>203</v>
      </c>
      <c r="E56" s="6" t="s">
        <v>53</v>
      </c>
      <c r="F56" s="6" t="s">
        <v>204</v>
      </c>
    </row>
    <row r="57" ht="15.75" customHeight="1">
      <c r="A57" s="6" t="s">
        <v>215</v>
      </c>
      <c r="B57" s="35">
        <f>B25</f>
        <v>850</v>
      </c>
      <c r="C57" s="6" t="s">
        <v>98</v>
      </c>
      <c r="D57" s="6" t="s">
        <v>217</v>
      </c>
      <c r="E57" s="6" t="s">
        <v>45</v>
      </c>
      <c r="F57" s="6" t="s">
        <v>45</v>
      </c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9" t="s">
        <v>218</v>
      </c>
    </row>
    <row r="60" ht="15.75" customHeight="1">
      <c r="A60" s="5" t="s">
        <v>19</v>
      </c>
      <c r="B60" s="5" t="s">
        <v>23</v>
      </c>
      <c r="C60" s="5" t="s">
        <v>25</v>
      </c>
      <c r="D60" s="5" t="s">
        <v>27</v>
      </c>
      <c r="E60" s="5" t="s">
        <v>12</v>
      </c>
      <c r="F60" s="5" t="s">
        <v>28</v>
      </c>
    </row>
    <row r="61" ht="15.75" customHeight="1">
      <c r="A61" s="6" t="s">
        <v>79</v>
      </c>
      <c r="B61" s="25">
        <v>75000.0</v>
      </c>
      <c r="C61" s="6" t="s">
        <v>47</v>
      </c>
      <c r="D61" s="6" t="s">
        <v>221</v>
      </c>
      <c r="E61" s="6" t="s">
        <v>222</v>
      </c>
      <c r="F61" s="6" t="s">
        <v>74</v>
      </c>
    </row>
    <row r="62" ht="15.75" customHeight="1">
      <c r="A62" s="6" t="s">
        <v>95</v>
      </c>
      <c r="B62" s="25">
        <v>0.0</v>
      </c>
      <c r="C62" s="6" t="s">
        <v>225</v>
      </c>
      <c r="D62" s="6" t="s">
        <v>226</v>
      </c>
      <c r="E62" s="6" t="s">
        <v>38</v>
      </c>
      <c r="F62" s="6" t="s">
        <v>227</v>
      </c>
    </row>
    <row r="63" ht="15.75" customHeight="1">
      <c r="A63" s="6" t="s">
        <v>230</v>
      </c>
      <c r="B63" s="16">
        <v>2.0</v>
      </c>
      <c r="C63" s="6" t="s">
        <v>231</v>
      </c>
      <c r="D63" s="6" t="s">
        <v>232</v>
      </c>
      <c r="E63" s="6" t="s">
        <v>53</v>
      </c>
      <c r="F63" s="6" t="s">
        <v>74</v>
      </c>
    </row>
    <row r="64" ht="15.75" customHeight="1">
      <c r="A64" s="6" t="s">
        <v>233</v>
      </c>
      <c r="B64" s="17">
        <v>1.0</v>
      </c>
      <c r="C64" s="6" t="s">
        <v>213</v>
      </c>
      <c r="D64" s="6" t="s">
        <v>234</v>
      </c>
      <c r="E64" s="6" t="s">
        <v>53</v>
      </c>
      <c r="F64" s="6" t="s">
        <v>82</v>
      </c>
    </row>
    <row r="65" ht="15.75" customHeight="1">
      <c r="A65" s="6" t="s">
        <v>235</v>
      </c>
      <c r="B65" s="25">
        <v>10000.0</v>
      </c>
      <c r="C65" s="6" t="s">
        <v>84</v>
      </c>
      <c r="D65" s="6" t="s">
        <v>236</v>
      </c>
      <c r="E65" s="6" t="s">
        <v>167</v>
      </c>
      <c r="F65" s="6" t="s">
        <v>39</v>
      </c>
    </row>
    <row r="66" ht="15.75" customHeight="1">
      <c r="A66" s="6" t="s">
        <v>237</v>
      </c>
      <c r="B66" s="18">
        <v>0.2</v>
      </c>
      <c r="C66" s="6" t="s">
        <v>238</v>
      </c>
      <c r="D66" s="6" t="s">
        <v>239</v>
      </c>
      <c r="E66" s="6" t="s">
        <v>240</v>
      </c>
      <c r="F66" s="6" t="s">
        <v>39</v>
      </c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36" t="s">
        <v>241</v>
      </c>
    </row>
    <row r="69" ht="15.75" customHeight="1">
      <c r="A69" s="29" t="s">
        <v>242</v>
      </c>
      <c r="B69" s="29" t="s">
        <v>23</v>
      </c>
      <c r="C69" s="29" t="s">
        <v>243</v>
      </c>
      <c r="D69" s="29" t="s">
        <v>25</v>
      </c>
      <c r="E69" s="29" t="s">
        <v>27</v>
      </c>
      <c r="F69" s="29" t="s">
        <v>12</v>
      </c>
      <c r="G69" s="21" t="s">
        <v>28</v>
      </c>
    </row>
    <row r="70" ht="15.75" customHeight="1">
      <c r="A70" s="19" t="s">
        <v>244</v>
      </c>
      <c r="B70" s="31">
        <v>450.0</v>
      </c>
      <c r="C70" s="37">
        <f>MIN($B$25,B70+IF(AND($B$50=1,$B$56&lt;=12),$B$54,0))</f>
        <v>450</v>
      </c>
      <c r="D70" s="19" t="s">
        <v>98</v>
      </c>
      <c r="E70" s="19" t="s">
        <v>245</v>
      </c>
      <c r="F70" s="19" t="s">
        <v>246</v>
      </c>
      <c r="G70" s="21" t="s">
        <v>19</v>
      </c>
    </row>
    <row r="71" ht="15.75" customHeight="1">
      <c r="A71" s="19" t="s">
        <v>247</v>
      </c>
      <c r="B71" s="31">
        <v>600.0</v>
      </c>
      <c r="C71" s="37">
        <f>MIN($B$25,B71+IF(AND($B$50=1,$B$56&lt;=24),$B$54,0))</f>
        <v>600</v>
      </c>
      <c r="D71" s="19" t="s">
        <v>98</v>
      </c>
      <c r="E71" s="19" t="s">
        <v>245</v>
      </c>
      <c r="F71" s="19" t="s">
        <v>248</v>
      </c>
      <c r="G71" s="21" t="s">
        <v>19</v>
      </c>
    </row>
    <row r="72" ht="15.75" customHeight="1">
      <c r="A72" s="19" t="s">
        <v>249</v>
      </c>
      <c r="B72" s="31">
        <v>725.0</v>
      </c>
      <c r="C72" s="37">
        <f>MIN($B$25,B72+IF(AND($B$50=1,$B$56&lt;=36),$B$54,0))</f>
        <v>725</v>
      </c>
      <c r="D72" s="19" t="s">
        <v>98</v>
      </c>
      <c r="E72" s="19" t="s">
        <v>245</v>
      </c>
      <c r="F72" s="19" t="s">
        <v>248</v>
      </c>
      <c r="G72" s="21" t="s">
        <v>19</v>
      </c>
    </row>
    <row r="73" ht="15.75" customHeight="1">
      <c r="A73" s="19" t="s">
        <v>250</v>
      </c>
      <c r="B73" s="31">
        <v>800.0</v>
      </c>
      <c r="C73" s="37">
        <f>MIN($B$25,B73+IF(AND($B$50=1,$B$56&lt;=48),$B$54,0))</f>
        <v>800</v>
      </c>
      <c r="D73" s="19" t="s">
        <v>98</v>
      </c>
      <c r="E73" s="19" t="s">
        <v>245</v>
      </c>
      <c r="F73" s="19" t="s">
        <v>248</v>
      </c>
      <c r="G73" s="21" t="s">
        <v>19</v>
      </c>
    </row>
    <row r="74" ht="15.75" customHeight="1">
      <c r="A74" s="19" t="s">
        <v>251</v>
      </c>
      <c r="B74" s="31">
        <v>850.0</v>
      </c>
      <c r="C74" s="37">
        <f>MIN($B$25,B74+IF(AND($B$50=1,$B$56&lt;=60),$B$54,0))</f>
        <v>850</v>
      </c>
      <c r="D74" s="19" t="s">
        <v>98</v>
      </c>
      <c r="E74" s="19" t="s">
        <v>245</v>
      </c>
      <c r="F74" s="19" t="s">
        <v>248</v>
      </c>
      <c r="G74" s="21" t="s">
        <v>19</v>
      </c>
    </row>
    <row r="75" ht="15.75" customHeight="1"/>
    <row r="76" ht="15.75" customHeight="1"/>
    <row r="77" ht="15.75" customHeight="1">
      <c r="A77" s="38" t="s">
        <v>252</v>
      </c>
      <c r="B77" s="38"/>
      <c r="C77" s="38"/>
      <c r="D77" s="38"/>
      <c r="E77" s="38"/>
      <c r="F77" s="38"/>
    </row>
    <row r="78" ht="15.75" customHeight="1">
      <c r="A78" s="39" t="s">
        <v>19</v>
      </c>
      <c r="B78" s="39" t="s">
        <v>23</v>
      </c>
      <c r="C78" s="39" t="s">
        <v>25</v>
      </c>
      <c r="D78" s="39" t="s">
        <v>27</v>
      </c>
      <c r="E78" s="39" t="s">
        <v>12</v>
      </c>
      <c r="F78" s="39" t="s">
        <v>28</v>
      </c>
    </row>
    <row r="79" ht="15.75" customHeight="1">
      <c r="A79" s="40" t="s">
        <v>253</v>
      </c>
      <c r="B79" s="41">
        <v>1.0</v>
      </c>
      <c r="C79" s="40" t="s">
        <v>201</v>
      </c>
      <c r="D79" s="40" t="s">
        <v>254</v>
      </c>
      <c r="E79" s="40" t="s">
        <v>255</v>
      </c>
      <c r="F79" s="40" t="s">
        <v>74</v>
      </c>
    </row>
    <row r="80" ht="15.75" customHeight="1">
      <c r="A80" s="42" t="s">
        <v>256</v>
      </c>
      <c r="B80" s="43">
        <v>150000.0</v>
      </c>
      <c r="C80" s="40" t="s">
        <v>47</v>
      </c>
      <c r="D80" s="40" t="s">
        <v>257</v>
      </c>
      <c r="E80" s="40" t="s">
        <v>258</v>
      </c>
      <c r="F80" s="40" t="s">
        <v>74</v>
      </c>
    </row>
    <row r="81" ht="15.75" customHeight="1">
      <c r="A81" s="40" t="s">
        <v>259</v>
      </c>
      <c r="B81" s="44">
        <v>1.0</v>
      </c>
      <c r="C81" s="40" t="s">
        <v>32</v>
      </c>
      <c r="D81" s="40" t="s">
        <v>260</v>
      </c>
      <c r="E81" s="40" t="s">
        <v>255</v>
      </c>
      <c r="F81" s="40" t="s">
        <v>74</v>
      </c>
    </row>
    <row r="82" ht="15.75" customHeight="1">
      <c r="A82" s="40" t="s">
        <v>261</v>
      </c>
      <c r="B82" s="45">
        <f>B15</f>
        <v>12</v>
      </c>
      <c r="C82" s="40" t="s">
        <v>231</v>
      </c>
      <c r="D82" s="40" t="s">
        <v>262</v>
      </c>
      <c r="E82" s="40" t="s">
        <v>45</v>
      </c>
      <c r="F82" s="40" t="s">
        <v>45</v>
      </c>
    </row>
    <row r="83" ht="15.75" customHeight="1">
      <c r="A83" s="40" t="s">
        <v>263</v>
      </c>
      <c r="B83" s="46" t="s">
        <v>264</v>
      </c>
      <c r="C83" s="40" t="s">
        <v>265</v>
      </c>
      <c r="D83" s="40" t="s">
        <v>266</v>
      </c>
      <c r="E83" s="40" t="s">
        <v>255</v>
      </c>
      <c r="F83" s="40" t="s">
        <v>35</v>
      </c>
    </row>
    <row r="84" ht="15.75" customHeight="1">
      <c r="A84" s="40" t="s">
        <v>267</v>
      </c>
      <c r="B84" s="47">
        <v>0.0</v>
      </c>
      <c r="C84" s="40" t="s">
        <v>201</v>
      </c>
      <c r="D84" s="40" t="s">
        <v>268</v>
      </c>
      <c r="E84" s="40" t="s">
        <v>255</v>
      </c>
      <c r="F84" s="40" t="s">
        <v>74</v>
      </c>
    </row>
    <row r="85" ht="15.75" customHeight="1">
      <c r="A85" s="40" t="s">
        <v>269</v>
      </c>
      <c r="B85" s="43">
        <v>10000.0</v>
      </c>
      <c r="C85" s="40" t="s">
        <v>84</v>
      </c>
      <c r="D85" s="40" t="s">
        <v>270</v>
      </c>
      <c r="E85" s="40" t="s">
        <v>255</v>
      </c>
      <c r="F85" s="40" t="s">
        <v>19</v>
      </c>
    </row>
    <row r="86" ht="15.75" customHeight="1">
      <c r="A86" s="40" t="s">
        <v>271</v>
      </c>
      <c r="B86" s="43">
        <v>10000.0</v>
      </c>
      <c r="C86" s="40" t="s">
        <v>84</v>
      </c>
      <c r="D86" s="40" t="s">
        <v>272</v>
      </c>
      <c r="E86" s="40" t="s">
        <v>255</v>
      </c>
      <c r="F86" s="40" t="s">
        <v>19</v>
      </c>
    </row>
    <row r="87" ht="15.75" customHeight="1">
      <c r="A87" s="40" t="s">
        <v>273</v>
      </c>
      <c r="B87" s="46" t="s">
        <v>274</v>
      </c>
      <c r="C87" s="40" t="s">
        <v>275</v>
      </c>
      <c r="D87" s="40" t="s">
        <v>276</v>
      </c>
      <c r="E87" s="40" t="s">
        <v>255</v>
      </c>
      <c r="F87" s="40" t="s">
        <v>35</v>
      </c>
    </row>
    <row r="88" ht="15.75" customHeight="1">
      <c r="A88" s="40" t="s">
        <v>277</v>
      </c>
      <c r="B88" s="48">
        <v>0.0</v>
      </c>
      <c r="C88" s="40" t="s">
        <v>88</v>
      </c>
      <c r="D88" s="40" t="s">
        <v>278</v>
      </c>
      <c r="E88" s="40" t="s">
        <v>90</v>
      </c>
      <c r="F88" s="40" t="s">
        <v>39</v>
      </c>
    </row>
    <row r="89" ht="15.75" customHeight="1">
      <c r="A89" s="40" t="s">
        <v>279</v>
      </c>
      <c r="B89" s="46" t="s">
        <v>280</v>
      </c>
      <c r="C89" s="40" t="s">
        <v>281</v>
      </c>
      <c r="D89" s="40" t="s">
        <v>282</v>
      </c>
      <c r="E89" s="40" t="s">
        <v>255</v>
      </c>
      <c r="F89" s="40" t="s">
        <v>35</v>
      </c>
    </row>
    <row r="90" ht="15.75" customHeight="1">
      <c r="A90" s="21" t="s">
        <v>283</v>
      </c>
      <c r="B90" s="21">
        <v>6.0</v>
      </c>
      <c r="C90" s="21" t="s">
        <v>284</v>
      </c>
      <c r="D90" s="21" t="s">
        <v>285</v>
      </c>
      <c r="E90" s="21" t="s">
        <v>255</v>
      </c>
      <c r="F90" s="21" t="s">
        <v>74</v>
      </c>
    </row>
    <row r="91" ht="15.75" customHeight="1">
      <c r="A91" s="21" t="s">
        <v>286</v>
      </c>
      <c r="B91" s="21">
        <v>12.0</v>
      </c>
      <c r="C91" s="21" t="s">
        <v>287</v>
      </c>
      <c r="D91" s="21" t="s">
        <v>288</v>
      </c>
      <c r="E91" s="21" t="s">
        <v>255</v>
      </c>
      <c r="F91" s="21" t="s">
        <v>74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4:F4"/>
    <mergeCell ref="A22:F22"/>
    <mergeCell ref="A36:F36"/>
    <mergeCell ref="A52:F52"/>
    <mergeCell ref="A59:F59"/>
    <mergeCell ref="A68:F68"/>
  </mergeCells>
  <dataValidations>
    <dataValidation type="list" allowBlank="1" sqref="B50">
      <formula1>"0,1"</formula1>
    </dataValidation>
    <dataValidation type="list" allowBlank="1" showErrorMessage="1" sqref="B79 B84">
      <formula1>"0,1"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30.0"/>
    <col customWidth="1" min="3" max="6" width="17.0"/>
    <col customWidth="1" min="7" max="7" width="50.0"/>
    <col customWidth="1" min="8" max="8" width="24.0"/>
    <col customWidth="1" min="9" max="9" width="14.0"/>
    <col customWidth="1" min="10" max="26" width="8.63"/>
  </cols>
  <sheetData>
    <row r="1" ht="27.75" customHeight="1">
      <c r="A1" s="4" t="s">
        <v>0</v>
      </c>
    </row>
    <row r="2">
      <c r="A2" s="7" t="s">
        <v>6</v>
      </c>
    </row>
    <row r="4">
      <c r="A4" s="5" t="s">
        <v>16</v>
      </c>
      <c r="B4" s="5" t="s">
        <v>17</v>
      </c>
      <c r="C4" s="5" t="s">
        <v>18</v>
      </c>
      <c r="D4" s="5" t="s">
        <v>8</v>
      </c>
      <c r="E4" s="5" t="s">
        <v>20</v>
      </c>
      <c r="F4" s="5" t="s">
        <v>22</v>
      </c>
      <c r="G4" s="5" t="s">
        <v>24</v>
      </c>
      <c r="H4" s="5" t="s">
        <v>12</v>
      </c>
      <c r="I4" s="5" t="s">
        <v>26</v>
      </c>
    </row>
    <row r="5">
      <c r="A5" s="8" t="s">
        <v>29</v>
      </c>
      <c r="B5" s="8" t="s">
        <v>30</v>
      </c>
      <c r="C5" s="11">
        <v>20000.0</v>
      </c>
      <c r="D5" s="13" t="s">
        <v>21</v>
      </c>
      <c r="E5" s="10">
        <f>IF(D5="Y",C5-C5/(1+Inputs!$B$6),0)</f>
        <v>3050.847458</v>
      </c>
      <c r="F5" s="10">
        <f t="shared" ref="F5:F19" si="1">C5-E5</f>
        <v>16949.15254</v>
      </c>
      <c r="G5" s="8" t="s">
        <v>51</v>
      </c>
      <c r="H5" s="8" t="s">
        <v>53</v>
      </c>
      <c r="I5" s="8" t="s">
        <v>55</v>
      </c>
    </row>
    <row r="6">
      <c r="A6" s="8" t="s">
        <v>29</v>
      </c>
      <c r="B6" s="8" t="s">
        <v>59</v>
      </c>
      <c r="C6" s="11">
        <v>4500.0</v>
      </c>
      <c r="D6" s="13" t="s">
        <v>61</v>
      </c>
      <c r="E6" s="10">
        <f>IF(D6="Y",C6-C6/(1+Inputs!$B$6),0)</f>
        <v>0</v>
      </c>
      <c r="F6" s="10">
        <f t="shared" si="1"/>
        <v>4500</v>
      </c>
      <c r="G6" s="8" t="s">
        <v>68</v>
      </c>
      <c r="H6" s="8" t="s">
        <v>53</v>
      </c>
      <c r="I6" s="8" t="s">
        <v>55</v>
      </c>
    </row>
    <row r="7">
      <c r="A7" s="8" t="s">
        <v>29</v>
      </c>
      <c r="B7" s="8" t="s">
        <v>70</v>
      </c>
      <c r="C7" s="11">
        <v>4000.0</v>
      </c>
      <c r="D7" s="13" t="s">
        <v>21</v>
      </c>
      <c r="E7" s="10">
        <f>IF(D7="Y",C7-C7/(1+Inputs!$B$6),0)</f>
        <v>610.1694915</v>
      </c>
      <c r="F7" s="10">
        <f t="shared" si="1"/>
        <v>3389.830508</v>
      </c>
      <c r="G7" s="8" t="s">
        <v>68</v>
      </c>
      <c r="H7" s="8" t="s">
        <v>53</v>
      </c>
      <c r="I7" s="8" t="s">
        <v>55</v>
      </c>
    </row>
    <row r="8">
      <c r="A8" s="8" t="s">
        <v>29</v>
      </c>
      <c r="B8" s="8" t="s">
        <v>87</v>
      </c>
      <c r="C8" s="11">
        <v>1500.0</v>
      </c>
      <c r="D8" s="13" t="s">
        <v>21</v>
      </c>
      <c r="E8" s="10">
        <f>IF(D8="Y",C8-C8/(1+Inputs!$B$6),0)</f>
        <v>228.8135593</v>
      </c>
      <c r="F8" s="10">
        <f t="shared" si="1"/>
        <v>1271.186441</v>
      </c>
      <c r="G8" s="8" t="s">
        <v>68</v>
      </c>
      <c r="H8" s="8" t="s">
        <v>53</v>
      </c>
      <c r="I8" s="8" t="s">
        <v>55</v>
      </c>
    </row>
    <row r="9">
      <c r="A9" s="8" t="s">
        <v>29</v>
      </c>
      <c r="B9" s="8" t="s">
        <v>96</v>
      </c>
      <c r="C9" s="11">
        <v>3500.0</v>
      </c>
      <c r="D9" s="13" t="s">
        <v>21</v>
      </c>
      <c r="E9" s="10">
        <f>IF(D9="Y",C9-C9/(1+Inputs!$B$6),0)</f>
        <v>533.8983051</v>
      </c>
      <c r="F9" s="10">
        <f t="shared" si="1"/>
        <v>2966.101695</v>
      </c>
      <c r="G9" s="21" t="s">
        <v>105</v>
      </c>
      <c r="H9" s="8" t="s">
        <v>53</v>
      </c>
      <c r="I9" s="8" t="s">
        <v>55</v>
      </c>
    </row>
    <row r="10">
      <c r="A10" s="8" t="s">
        <v>29</v>
      </c>
      <c r="B10" s="8" t="s">
        <v>113</v>
      </c>
      <c r="C10" s="11">
        <v>1800.0</v>
      </c>
      <c r="D10" s="13" t="s">
        <v>21</v>
      </c>
      <c r="E10" s="10">
        <f>IF(D10="Y",C10-C10/(1+Inputs!$B$6),0)</f>
        <v>274.5762712</v>
      </c>
      <c r="F10" s="10">
        <f t="shared" si="1"/>
        <v>1525.423729</v>
      </c>
      <c r="G10" s="21" t="s">
        <v>122</v>
      </c>
      <c r="H10" s="8" t="s">
        <v>53</v>
      </c>
      <c r="I10" s="8" t="s">
        <v>55</v>
      </c>
    </row>
    <row r="11">
      <c r="A11" s="8" t="s">
        <v>29</v>
      </c>
      <c r="B11" s="8" t="s">
        <v>124</v>
      </c>
      <c r="C11" s="11">
        <v>1500.0</v>
      </c>
      <c r="D11" s="13" t="s">
        <v>21</v>
      </c>
      <c r="E11" s="10">
        <f>IF(D11="Y",C11-C11/(1+Inputs!$B$6),0)</f>
        <v>228.8135593</v>
      </c>
      <c r="F11" s="10">
        <f t="shared" si="1"/>
        <v>1271.186441</v>
      </c>
      <c r="G11" s="8" t="s">
        <v>126</v>
      </c>
      <c r="H11" s="8" t="s">
        <v>53</v>
      </c>
      <c r="I11" s="8" t="s">
        <v>55</v>
      </c>
    </row>
    <row r="12">
      <c r="A12" s="8" t="s">
        <v>29</v>
      </c>
      <c r="B12" s="8" t="s">
        <v>128</v>
      </c>
      <c r="C12" s="11">
        <v>1059.0</v>
      </c>
      <c r="D12" s="13" t="s">
        <v>21</v>
      </c>
      <c r="E12" s="10">
        <f>IF(D12="Y",C12-C12/(1+Inputs!$B$6),0)</f>
        <v>161.5423729</v>
      </c>
      <c r="F12" s="10">
        <f t="shared" si="1"/>
        <v>897.4576271</v>
      </c>
      <c r="G12" s="8" t="s">
        <v>68</v>
      </c>
      <c r="H12" s="8" t="s">
        <v>53</v>
      </c>
      <c r="I12" s="8" t="s">
        <v>55</v>
      </c>
    </row>
    <row r="13">
      <c r="A13" s="8" t="s">
        <v>29</v>
      </c>
      <c r="B13" s="8" t="s">
        <v>133</v>
      </c>
      <c r="C13" s="11">
        <v>1000.0</v>
      </c>
      <c r="D13" s="13" t="s">
        <v>21</v>
      </c>
      <c r="E13" s="10">
        <f>IF(D13="Y",C13-C13/(1+Inputs!$B$6),0)</f>
        <v>152.5423729</v>
      </c>
      <c r="F13" s="10">
        <f t="shared" si="1"/>
        <v>847.4576271</v>
      </c>
      <c r="G13" s="8" t="s">
        <v>135</v>
      </c>
      <c r="H13" s="8" t="s">
        <v>53</v>
      </c>
      <c r="I13" s="8" t="s">
        <v>55</v>
      </c>
    </row>
    <row r="14">
      <c r="A14" s="8" t="s">
        <v>29</v>
      </c>
      <c r="B14" s="8" t="s">
        <v>138</v>
      </c>
      <c r="C14" s="11">
        <v>600.0</v>
      </c>
      <c r="D14" s="13" t="s">
        <v>61</v>
      </c>
      <c r="E14" s="10">
        <f>IF(D14="Y",C14-C14/(1+Inputs!$B$6),0)</f>
        <v>0</v>
      </c>
      <c r="F14" s="10">
        <f t="shared" si="1"/>
        <v>600</v>
      </c>
      <c r="G14" s="8" t="s">
        <v>140</v>
      </c>
      <c r="H14" s="8" t="s">
        <v>53</v>
      </c>
      <c r="I14" s="8" t="s">
        <v>55</v>
      </c>
    </row>
    <row r="15">
      <c r="A15" s="8" t="s">
        <v>29</v>
      </c>
      <c r="B15" s="8" t="s">
        <v>141</v>
      </c>
      <c r="C15" s="11">
        <v>250.0</v>
      </c>
      <c r="D15" s="13" t="s">
        <v>21</v>
      </c>
      <c r="E15" s="10">
        <f>IF(D15="Y",C15-C15/(1+Inputs!$B$6),0)</f>
        <v>38.13559322</v>
      </c>
      <c r="F15" s="10">
        <f t="shared" si="1"/>
        <v>211.8644068</v>
      </c>
      <c r="G15" s="8" t="s">
        <v>135</v>
      </c>
      <c r="H15" s="8" t="s">
        <v>53</v>
      </c>
      <c r="I15" s="8" t="s">
        <v>55</v>
      </c>
    </row>
    <row r="16">
      <c r="A16" s="8" t="s">
        <v>29</v>
      </c>
      <c r="B16" s="8" t="s">
        <v>149</v>
      </c>
      <c r="C16" s="11">
        <v>2300.0</v>
      </c>
      <c r="D16" s="13" t="s">
        <v>21</v>
      </c>
      <c r="E16" s="10">
        <f>IF(D16="Y",C16-C16/(1+Inputs!$B$6),0)</f>
        <v>350.8474576</v>
      </c>
      <c r="F16" s="10">
        <f t="shared" si="1"/>
        <v>1949.152542</v>
      </c>
      <c r="G16" s="8" t="s">
        <v>155</v>
      </c>
      <c r="H16" s="8" t="s">
        <v>53</v>
      </c>
      <c r="I16" s="8" t="s">
        <v>55</v>
      </c>
    </row>
    <row r="17">
      <c r="A17" s="8" t="s">
        <v>157</v>
      </c>
      <c r="B17" s="8" t="s">
        <v>158</v>
      </c>
      <c r="C17" s="11">
        <v>8304.0</v>
      </c>
      <c r="D17" s="13" t="s">
        <v>61</v>
      </c>
      <c r="E17" s="10">
        <f>IF(D17="Y",C17-C17/(1+Inputs!$B$6),0)</f>
        <v>0</v>
      </c>
      <c r="F17" s="10">
        <f t="shared" si="1"/>
        <v>8304</v>
      </c>
      <c r="G17" s="8" t="s">
        <v>165</v>
      </c>
      <c r="H17" s="8" t="s">
        <v>53</v>
      </c>
      <c r="I17" s="8" t="s">
        <v>55</v>
      </c>
    </row>
    <row r="18">
      <c r="A18" s="8" t="s">
        <v>168</v>
      </c>
      <c r="B18" s="8" t="s">
        <v>169</v>
      </c>
      <c r="C18" s="11">
        <v>17536.0</v>
      </c>
      <c r="D18" s="13" t="s">
        <v>61</v>
      </c>
      <c r="E18" s="10">
        <f>IF(D18="Y",C18-C18/(1+Inputs!$B$6),0)</f>
        <v>0</v>
      </c>
      <c r="F18" s="10">
        <f t="shared" si="1"/>
        <v>17536</v>
      </c>
      <c r="G18" s="8" t="s">
        <v>173</v>
      </c>
      <c r="H18" s="8" t="s">
        <v>53</v>
      </c>
      <c r="I18" s="8" t="s">
        <v>55</v>
      </c>
    </row>
    <row r="19">
      <c r="A19" s="8" t="s">
        <v>174</v>
      </c>
      <c r="B19" s="8" t="s">
        <v>175</v>
      </c>
      <c r="C19" s="11">
        <v>2000.0</v>
      </c>
      <c r="D19" s="13" t="s">
        <v>21</v>
      </c>
      <c r="E19" s="10">
        <f>IF(D19="Y",C19-C19/(1+Inputs!$B$6),0)</f>
        <v>305.0847458</v>
      </c>
      <c r="F19" s="10">
        <f t="shared" si="1"/>
        <v>1694.915254</v>
      </c>
      <c r="G19" s="8" t="s">
        <v>180</v>
      </c>
      <c r="H19" s="8" t="s">
        <v>53</v>
      </c>
      <c r="I19" s="8" t="s">
        <v>55</v>
      </c>
    </row>
    <row r="21" ht="15.75" customHeight="1">
      <c r="A21" s="28" t="s">
        <v>183</v>
      </c>
    </row>
    <row r="22" ht="15.75" customHeight="1">
      <c r="A22" s="29" t="s">
        <v>115</v>
      </c>
      <c r="B22" s="29" t="s">
        <v>187</v>
      </c>
      <c r="C22" s="29" t="s">
        <v>188</v>
      </c>
      <c r="D22" s="29" t="s">
        <v>189</v>
      </c>
      <c r="E22" s="5"/>
      <c r="F22" s="5"/>
    </row>
    <row r="23" ht="15.75" customHeight="1">
      <c r="A23" s="21" t="s">
        <v>190</v>
      </c>
      <c r="B23" s="10">
        <f>SUM(C5:C19)</f>
        <v>69849</v>
      </c>
      <c r="C23" s="10">
        <f>SUM(F5:F19)</f>
        <v>63913.72881</v>
      </c>
      <c r="D23" s="30" t="s">
        <v>193</v>
      </c>
    </row>
    <row r="24" ht="15.75" customHeight="1">
      <c r="A24" s="21" t="s">
        <v>199</v>
      </c>
      <c r="B24" s="30">
        <v>1000.0</v>
      </c>
      <c r="C24" s="10">
        <f>B24/(1+Inputs!$B$6)</f>
        <v>847.4576271</v>
      </c>
      <c r="D24" s="30" t="s">
        <v>200</v>
      </c>
    </row>
    <row r="25" ht="15.75" customHeight="1">
      <c r="A25" s="21" t="s">
        <v>202</v>
      </c>
      <c r="B25" s="10">
        <f t="shared" ref="B25:C25" si="2">B23+B24</f>
        <v>70849</v>
      </c>
      <c r="C25" s="10">
        <f t="shared" si="2"/>
        <v>64761.18644</v>
      </c>
      <c r="D25" s="30" t="s">
        <v>206</v>
      </c>
    </row>
    <row r="26" ht="15.75" customHeight="1">
      <c r="A26" s="21" t="s">
        <v>207</v>
      </c>
      <c r="B26" s="10">
        <f t="shared" ref="B26:C26" si="3">B23*12</f>
        <v>838188</v>
      </c>
      <c r="C26" s="10">
        <f t="shared" si="3"/>
        <v>766964.7458</v>
      </c>
      <c r="D26" s="30" t="s">
        <v>193</v>
      </c>
    </row>
    <row r="27" ht="15.75" customHeight="1">
      <c r="B27" s="10"/>
      <c r="C27" s="10"/>
      <c r="D27" s="10"/>
    </row>
    <row r="28" ht="15.75" customHeight="1">
      <c r="B28" s="10"/>
      <c r="C28" s="10"/>
      <c r="D28" s="10"/>
    </row>
    <row r="29" ht="15.75" customHeight="1"/>
    <row r="30" ht="15.75" customHeight="1">
      <c r="A30" s="33" t="s">
        <v>214</v>
      </c>
      <c r="B30" s="34"/>
      <c r="C30" s="34"/>
      <c r="D30" s="34"/>
      <c r="E30" s="34"/>
      <c r="F30" s="34"/>
      <c r="G30" s="34"/>
      <c r="H30" s="34"/>
      <c r="I30" s="34"/>
    </row>
    <row r="31" ht="15.75" customHeight="1">
      <c r="A31" s="19" t="s">
        <v>138</v>
      </c>
      <c r="B31" s="19" t="s">
        <v>216</v>
      </c>
    </row>
    <row r="32" ht="15.75" customHeight="1">
      <c r="A32" s="19" t="s">
        <v>219</v>
      </c>
      <c r="B32" s="19" t="s">
        <v>220</v>
      </c>
    </row>
    <row r="33" ht="15.75" customHeight="1">
      <c r="A33" s="19" t="s">
        <v>223</v>
      </c>
      <c r="B33" s="19" t="s">
        <v>224</v>
      </c>
    </row>
    <row r="34" ht="15.75" customHeight="1">
      <c r="A34" s="19" t="s">
        <v>228</v>
      </c>
      <c r="B34" s="19" t="s">
        <v>229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I2"/>
    <mergeCell ref="A21:I21"/>
    <mergeCell ref="B31:I31"/>
    <mergeCell ref="B32:I32"/>
    <mergeCell ref="B33:I33"/>
    <mergeCell ref="B34:I34"/>
  </mergeCells>
  <dataValidations>
    <dataValidation type="list" allowBlank="1" sqref="D5:D19">
      <formula1>"Y,N"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18.0"/>
    <col customWidth="1" min="3" max="3" width="12.0"/>
    <col customWidth="1" min="4" max="5" width="19.0"/>
    <col customWidth="1" min="6" max="6" width="22.0"/>
    <col customWidth="1" min="7" max="7" width="24.0"/>
    <col customWidth="1" min="8" max="8" width="38.0"/>
    <col customWidth="1" min="9" max="26" width="8.63"/>
  </cols>
  <sheetData>
    <row r="1" ht="27.75" customHeight="1">
      <c r="A1" s="1" t="s">
        <v>2</v>
      </c>
    </row>
    <row r="2">
      <c r="A2" s="3" t="s">
        <v>3</v>
      </c>
    </row>
    <row r="4">
      <c r="A4" s="5" t="s">
        <v>5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</row>
    <row r="5">
      <c r="A5" s="8" t="s">
        <v>15</v>
      </c>
      <c r="B5" s="10">
        <v>9000.0</v>
      </c>
      <c r="C5" s="8" t="s">
        <v>21</v>
      </c>
      <c r="D5" s="10">
        <f>IF(C5="Y",B5*Inputs!$B$6,0)</f>
        <v>1620</v>
      </c>
      <c r="E5" s="10">
        <f t="shared" ref="E5:E11" si="1">B5+D5</f>
        <v>10620</v>
      </c>
      <c r="F5" s="8" t="s">
        <v>41</v>
      </c>
      <c r="G5" s="8" t="s">
        <v>42</v>
      </c>
    </row>
    <row r="6">
      <c r="A6" s="8" t="s">
        <v>43</v>
      </c>
      <c r="B6" s="10">
        <v>90000.0</v>
      </c>
      <c r="C6" s="8" t="s">
        <v>21</v>
      </c>
      <c r="D6" s="10">
        <f>IF(C6="Y",B6*Inputs!$B$6,0)</f>
        <v>16200</v>
      </c>
      <c r="E6" s="10">
        <f t="shared" si="1"/>
        <v>106200</v>
      </c>
      <c r="F6" s="8" t="s">
        <v>41</v>
      </c>
      <c r="G6" s="8" t="s">
        <v>42</v>
      </c>
    </row>
    <row r="7">
      <c r="A7" s="8" t="s">
        <v>54</v>
      </c>
      <c r="B7" s="10">
        <v>200000.0</v>
      </c>
      <c r="C7" s="8" t="s">
        <v>21</v>
      </c>
      <c r="D7" s="10">
        <f>IF(C7="Y",B7*Inputs!$B$6,0)</f>
        <v>36000</v>
      </c>
      <c r="E7" s="10">
        <f t="shared" si="1"/>
        <v>236000</v>
      </c>
      <c r="F7" s="8" t="s">
        <v>41</v>
      </c>
      <c r="G7" s="8" t="s">
        <v>42</v>
      </c>
    </row>
    <row r="8">
      <c r="A8" s="8" t="s">
        <v>65</v>
      </c>
      <c r="B8" s="10">
        <v>146000.0</v>
      </c>
      <c r="C8" s="8" t="s">
        <v>21</v>
      </c>
      <c r="D8" s="10">
        <f>IF(C8="Y",B8*Inputs!$B$6,0)</f>
        <v>26280</v>
      </c>
      <c r="E8" s="10">
        <f t="shared" si="1"/>
        <v>172280</v>
      </c>
      <c r="F8" s="8" t="s">
        <v>41</v>
      </c>
      <c r="G8" s="8" t="s">
        <v>42</v>
      </c>
    </row>
    <row r="9">
      <c r="A9" s="8" t="s">
        <v>69</v>
      </c>
      <c r="B9" s="10">
        <v>399076.27</v>
      </c>
      <c r="C9" s="8" t="s">
        <v>21</v>
      </c>
      <c r="D9" s="10">
        <f>IF(C9="Y",B9*Inputs!$B$6,0)</f>
        <v>71833.7286</v>
      </c>
      <c r="E9" s="10">
        <f t="shared" si="1"/>
        <v>470909.9986</v>
      </c>
      <c r="F9" s="8" t="s">
        <v>41</v>
      </c>
      <c r="G9" s="8" t="s">
        <v>76</v>
      </c>
      <c r="H9" s="8" t="s">
        <v>78</v>
      </c>
    </row>
    <row r="10">
      <c r="A10" s="8" t="s">
        <v>79</v>
      </c>
      <c r="B10" s="10">
        <v>75000.0</v>
      </c>
      <c r="C10" s="8" t="s">
        <v>61</v>
      </c>
      <c r="D10" s="10">
        <f>IF(C10="Y",B10*Inputs!$B$6,0)</f>
        <v>0</v>
      </c>
      <c r="E10" s="10">
        <f t="shared" si="1"/>
        <v>75000</v>
      </c>
      <c r="F10" s="8" t="s">
        <v>92</v>
      </c>
      <c r="G10" s="8" t="s">
        <v>42</v>
      </c>
      <c r="H10" s="8" t="s">
        <v>93</v>
      </c>
    </row>
    <row r="11">
      <c r="A11" s="8" t="s">
        <v>95</v>
      </c>
      <c r="B11" s="10">
        <f>Inputs!$B$62</f>
        <v>0</v>
      </c>
      <c r="C11" s="8" t="s">
        <v>21</v>
      </c>
      <c r="D11" s="10">
        <f>IF(C11="Y",B11*Inputs!$B$6,0)</f>
        <v>0</v>
      </c>
      <c r="E11" s="10">
        <f t="shared" si="1"/>
        <v>0</v>
      </c>
      <c r="F11" s="8" t="s">
        <v>102</v>
      </c>
      <c r="G11" s="8" t="s">
        <v>103</v>
      </c>
      <c r="H11" s="8" t="s">
        <v>104</v>
      </c>
    </row>
    <row r="13">
      <c r="A13" s="22" t="s">
        <v>110</v>
      </c>
    </row>
    <row r="14">
      <c r="A14" s="5" t="s">
        <v>115</v>
      </c>
      <c r="B14" s="5" t="s">
        <v>116</v>
      </c>
    </row>
    <row r="15">
      <c r="A15" s="8" t="s">
        <v>118</v>
      </c>
      <c r="B15" s="10">
        <f>SUM(B5:B11)</f>
        <v>919076.27</v>
      </c>
    </row>
    <row r="16">
      <c r="A16" s="8" t="s">
        <v>125</v>
      </c>
      <c r="B16" s="10">
        <f>SUM(D5:D11)</f>
        <v>151933.7286</v>
      </c>
    </row>
    <row r="17">
      <c r="A17" s="8" t="s">
        <v>127</v>
      </c>
      <c r="B17" s="10">
        <f>SUM(E5:E11)</f>
        <v>1071009.999</v>
      </c>
    </row>
    <row r="18">
      <c r="A18" s="8" t="s">
        <v>129</v>
      </c>
      <c r="B18" s="10">
        <f>Inputs!$B$9+Inputs!$B$10</f>
        <v>1140000</v>
      </c>
    </row>
    <row r="19">
      <c r="A19" s="8" t="s">
        <v>134</v>
      </c>
      <c r="B19" s="10">
        <f>B18-B17</f>
        <v>68990.0014</v>
      </c>
    </row>
    <row r="20">
      <c r="A20" s="8" t="s">
        <v>137</v>
      </c>
      <c r="B20" s="10">
        <f>Inputs!$B$27*Inputs!$B$34</f>
        <v>60054</v>
      </c>
    </row>
    <row r="21" ht="15.75" customHeight="1">
      <c r="A21" s="8" t="s">
        <v>144</v>
      </c>
      <c r="B21" s="10">
        <f>B16</f>
        <v>151933.7286</v>
      </c>
    </row>
    <row r="22" ht="15.75" customHeight="1">
      <c r="A22" s="8" t="s">
        <v>148</v>
      </c>
      <c r="B22" s="10">
        <f>B19-B20+B21</f>
        <v>160869.73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A13:B13"/>
    <mergeCell ref="D13:H13"/>
    <mergeCell ref="E22:H2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5" width="16.0"/>
    <col customWidth="1" min="6" max="10" width="17.0"/>
    <col customWidth="1" min="11" max="26" width="8.63"/>
  </cols>
  <sheetData>
    <row r="1" ht="27.75" customHeight="1">
      <c r="A1" s="1" t="s">
        <v>289</v>
      </c>
    </row>
    <row r="2">
      <c r="A2" s="33" t="s">
        <v>290</v>
      </c>
    </row>
    <row r="4">
      <c r="A4" s="5" t="s">
        <v>115</v>
      </c>
      <c r="B4" s="5" t="s">
        <v>291</v>
      </c>
      <c r="C4" s="5" t="s">
        <v>292</v>
      </c>
      <c r="D4" s="5" t="s">
        <v>293</v>
      </c>
    </row>
    <row r="5">
      <c r="A5" s="8" t="s">
        <v>294</v>
      </c>
      <c r="B5" s="10">
        <f>Inputs!$B$9</f>
        <v>240000</v>
      </c>
      <c r="C5" s="10">
        <f>Inputs!$B$10</f>
        <v>900000</v>
      </c>
      <c r="D5" s="10">
        <f>SUM(B5:C5)</f>
        <v>1140000</v>
      </c>
    </row>
    <row r="6">
      <c r="A6" s="8" t="s">
        <v>295</v>
      </c>
      <c r="B6" s="49">
        <v>0.0</v>
      </c>
      <c r="C6" s="49">
        <f>Inputs!$B$13</f>
        <v>0.0475</v>
      </c>
    </row>
    <row r="7">
      <c r="A7" s="8" t="s">
        <v>296</v>
      </c>
      <c r="B7" s="50">
        <f>Inputs!$B$15</f>
        <v>12</v>
      </c>
      <c r="C7" s="50">
        <f>Inputs!$B$15</f>
        <v>12</v>
      </c>
    </row>
    <row r="8">
      <c r="A8" s="8" t="s">
        <v>297</v>
      </c>
      <c r="B8" s="50">
        <f t="shared" ref="B8:C8" si="1">B5</f>
        <v>240000</v>
      </c>
      <c r="C8" s="50">
        <f t="shared" si="1"/>
        <v>900000</v>
      </c>
    </row>
    <row r="9">
      <c r="A9" s="8" t="s">
        <v>298</v>
      </c>
      <c r="B9" s="50">
        <v>60.0</v>
      </c>
      <c r="C9" s="50">
        <v>60.0</v>
      </c>
    </row>
    <row r="10">
      <c r="A10" s="8" t="s">
        <v>299</v>
      </c>
      <c r="B10" s="10">
        <f>B8/B9</f>
        <v>4000</v>
      </c>
      <c r="C10" s="10">
        <f>C8*(C6/12)/(1-(1+C6/12)^(-C9))</f>
        <v>16881.22078</v>
      </c>
      <c r="D10" s="10">
        <f>SUM(B10:C10)</f>
        <v>20881.22078</v>
      </c>
    </row>
    <row r="11">
      <c r="A11" s="8" t="s">
        <v>300</v>
      </c>
      <c r="B11" s="10"/>
      <c r="C11" s="10"/>
      <c r="D11" s="10">
        <f>D10</f>
        <v>20881.22078</v>
      </c>
    </row>
    <row r="12">
      <c r="A12" s="8" t="s">
        <v>301</v>
      </c>
      <c r="D12" s="50">
        <f>Inputs!$B$15</f>
        <v>12</v>
      </c>
    </row>
    <row r="13">
      <c r="A13" s="8" t="s">
        <v>302</v>
      </c>
      <c r="D13" s="50">
        <f>MAX(1,Inputs!$B$15-Inputs!$B$27+1)</f>
        <v>10</v>
      </c>
    </row>
    <row r="15">
      <c r="A15" s="22" t="s">
        <v>303</v>
      </c>
    </row>
    <row r="16">
      <c r="A16" s="5" t="s">
        <v>304</v>
      </c>
      <c r="B16" s="5" t="s">
        <v>305</v>
      </c>
      <c r="C16" s="5" t="s">
        <v>306</v>
      </c>
      <c r="D16" s="5" t="s">
        <v>307</v>
      </c>
      <c r="E16" s="5" t="s">
        <v>308</v>
      </c>
      <c r="F16" s="5" t="s">
        <v>309</v>
      </c>
      <c r="G16" s="5" t="s">
        <v>310</v>
      </c>
      <c r="H16" s="5" t="s">
        <v>311</v>
      </c>
      <c r="I16" s="5" t="s">
        <v>312</v>
      </c>
      <c r="J16" s="5" t="s">
        <v>313</v>
      </c>
    </row>
    <row r="17">
      <c r="A17" s="50">
        <v>0.0</v>
      </c>
      <c r="B17" s="10">
        <f>$B$5</f>
        <v>240000</v>
      </c>
      <c r="C17" s="10">
        <v>0.0</v>
      </c>
      <c r="D17" s="10">
        <v>0.0</v>
      </c>
      <c r="E17" s="10">
        <f>$B$5</f>
        <v>240000</v>
      </c>
      <c r="F17" s="10">
        <f>$C$5</f>
        <v>900000</v>
      </c>
      <c r="G17" s="10">
        <v>0.0</v>
      </c>
      <c r="H17" s="10">
        <v>0.0</v>
      </c>
      <c r="I17" s="10">
        <f>$C$5</f>
        <v>900000</v>
      </c>
      <c r="J17" s="10">
        <v>0.0</v>
      </c>
    </row>
    <row r="18">
      <c r="A18" s="50">
        <f t="shared" ref="A18:A79" si="2">A17+1</f>
        <v>1</v>
      </c>
      <c r="B18" s="10">
        <f t="shared" ref="B18:B79" si="3">E17</f>
        <v>240000</v>
      </c>
      <c r="C18" s="10">
        <f t="shared" ref="C18:C79" si="4">0</f>
        <v>0</v>
      </c>
      <c r="D18" s="10">
        <f>IF(A18&lt;Inputs!$B$15,0,MIN($B$10,B18))</f>
        <v>0</v>
      </c>
      <c r="E18" s="10">
        <f t="shared" ref="E18:E79" si="5">MAX(0,B18-D18)</f>
        <v>240000</v>
      </c>
      <c r="F18" s="10">
        <f t="shared" ref="F18:F79" si="6">I17</f>
        <v>900000</v>
      </c>
      <c r="G18" s="10">
        <f>IF(A18&lt;Inputs!$B$15,0,F18*$C$6/12)</f>
        <v>0</v>
      </c>
      <c r="H18" s="10">
        <f>IF(A18&lt;Inputs!$B$15,0,MIN($C$10,F18+G18))</f>
        <v>0</v>
      </c>
      <c r="I18" s="10">
        <f t="shared" ref="I18:I79" si="7">MAX(0,F18+G18-H18)</f>
        <v>900000</v>
      </c>
      <c r="J18" s="10">
        <f t="shared" ref="J18:J79" si="8">D18+H18</f>
        <v>0</v>
      </c>
    </row>
    <row r="19">
      <c r="A19" s="50">
        <f t="shared" si="2"/>
        <v>2</v>
      </c>
      <c r="B19" s="10">
        <f t="shared" si="3"/>
        <v>240000</v>
      </c>
      <c r="C19" s="10">
        <f t="shared" si="4"/>
        <v>0</v>
      </c>
      <c r="D19" s="10">
        <f>IF(A19&lt;Inputs!$B$15,0,MIN($B$10,B19))</f>
        <v>0</v>
      </c>
      <c r="E19" s="10">
        <f t="shared" si="5"/>
        <v>240000</v>
      </c>
      <c r="F19" s="10">
        <f t="shared" si="6"/>
        <v>900000</v>
      </c>
      <c r="G19" s="10">
        <f>IF(A19&lt;Inputs!$B$15,0,F19*$C$6/12)</f>
        <v>0</v>
      </c>
      <c r="H19" s="10">
        <f>IF(A19&lt;Inputs!$B$15,0,MIN($C$10,F19+G19))</f>
        <v>0</v>
      </c>
      <c r="I19" s="10">
        <f t="shared" si="7"/>
        <v>900000</v>
      </c>
      <c r="J19" s="10">
        <f t="shared" si="8"/>
        <v>0</v>
      </c>
    </row>
    <row r="20">
      <c r="A20" s="50">
        <f t="shared" si="2"/>
        <v>3</v>
      </c>
      <c r="B20" s="10">
        <f t="shared" si="3"/>
        <v>240000</v>
      </c>
      <c r="C20" s="10">
        <f t="shared" si="4"/>
        <v>0</v>
      </c>
      <c r="D20" s="10">
        <f>IF(A20&lt;Inputs!$B$15,0,MIN($B$10,B20))</f>
        <v>0</v>
      </c>
      <c r="E20" s="10">
        <f t="shared" si="5"/>
        <v>240000</v>
      </c>
      <c r="F20" s="10">
        <f t="shared" si="6"/>
        <v>900000</v>
      </c>
      <c r="G20" s="10">
        <f>IF(A20&lt;Inputs!$B$15,0,F20*$C$6/12)</f>
        <v>0</v>
      </c>
      <c r="H20" s="10">
        <f>IF(A20&lt;Inputs!$B$15,0,MIN($C$10,F20+G20))</f>
        <v>0</v>
      </c>
      <c r="I20" s="10">
        <f t="shared" si="7"/>
        <v>900000</v>
      </c>
      <c r="J20" s="10">
        <f t="shared" si="8"/>
        <v>0</v>
      </c>
    </row>
    <row r="21" ht="15.75" customHeight="1">
      <c r="A21" s="50">
        <f t="shared" si="2"/>
        <v>4</v>
      </c>
      <c r="B21" s="10">
        <f t="shared" si="3"/>
        <v>240000</v>
      </c>
      <c r="C21" s="10">
        <f t="shared" si="4"/>
        <v>0</v>
      </c>
      <c r="D21" s="10">
        <f>IF(A21&lt;Inputs!$B$15,0,MIN($B$10,B21))</f>
        <v>0</v>
      </c>
      <c r="E21" s="10">
        <f t="shared" si="5"/>
        <v>240000</v>
      </c>
      <c r="F21" s="10">
        <f t="shared" si="6"/>
        <v>900000</v>
      </c>
      <c r="G21" s="10">
        <f>IF(A21&lt;Inputs!$B$15,0,F21*$C$6/12)</f>
        <v>0</v>
      </c>
      <c r="H21" s="10">
        <f>IF(A21&lt;Inputs!$B$15,0,MIN($C$10,F21+G21))</f>
        <v>0</v>
      </c>
      <c r="I21" s="10">
        <f t="shared" si="7"/>
        <v>900000</v>
      </c>
      <c r="J21" s="10">
        <f t="shared" si="8"/>
        <v>0</v>
      </c>
    </row>
    <row r="22" ht="15.75" customHeight="1">
      <c r="A22" s="50">
        <f t="shared" si="2"/>
        <v>5</v>
      </c>
      <c r="B22" s="10">
        <f t="shared" si="3"/>
        <v>240000</v>
      </c>
      <c r="C22" s="10">
        <f t="shared" si="4"/>
        <v>0</v>
      </c>
      <c r="D22" s="10">
        <f>IF(A22&lt;Inputs!$B$15,0,MIN($B$10,B22))</f>
        <v>0</v>
      </c>
      <c r="E22" s="10">
        <f t="shared" si="5"/>
        <v>240000</v>
      </c>
      <c r="F22" s="10">
        <f t="shared" si="6"/>
        <v>900000</v>
      </c>
      <c r="G22" s="10">
        <f>IF(A22&lt;Inputs!$B$15,0,F22*$C$6/12)</f>
        <v>0</v>
      </c>
      <c r="H22" s="10">
        <f>IF(A22&lt;Inputs!$B$15,0,MIN($C$10,F22+G22))</f>
        <v>0</v>
      </c>
      <c r="I22" s="10">
        <f t="shared" si="7"/>
        <v>900000</v>
      </c>
      <c r="J22" s="10">
        <f t="shared" si="8"/>
        <v>0</v>
      </c>
    </row>
    <row r="23" ht="15.75" customHeight="1">
      <c r="A23" s="50">
        <f t="shared" si="2"/>
        <v>6</v>
      </c>
      <c r="B23" s="10">
        <f t="shared" si="3"/>
        <v>240000</v>
      </c>
      <c r="C23" s="10">
        <f t="shared" si="4"/>
        <v>0</v>
      </c>
      <c r="D23" s="10">
        <f>IF(A23&lt;Inputs!$B$15,0,MIN($B$10,B23))</f>
        <v>0</v>
      </c>
      <c r="E23" s="10">
        <f t="shared" si="5"/>
        <v>240000</v>
      </c>
      <c r="F23" s="10">
        <f t="shared" si="6"/>
        <v>900000</v>
      </c>
      <c r="G23" s="10">
        <f>IF(A23&lt;Inputs!$B$15,0,F23*$C$6/12)</f>
        <v>0</v>
      </c>
      <c r="H23" s="10">
        <f>IF(A23&lt;Inputs!$B$15,0,MIN($C$10,F23+G23))</f>
        <v>0</v>
      </c>
      <c r="I23" s="10">
        <f t="shared" si="7"/>
        <v>900000</v>
      </c>
      <c r="J23" s="10">
        <f t="shared" si="8"/>
        <v>0</v>
      </c>
    </row>
    <row r="24" ht="15.75" customHeight="1">
      <c r="A24" s="50">
        <f t="shared" si="2"/>
        <v>7</v>
      </c>
      <c r="B24" s="10">
        <f t="shared" si="3"/>
        <v>240000</v>
      </c>
      <c r="C24" s="10">
        <f t="shared" si="4"/>
        <v>0</v>
      </c>
      <c r="D24" s="10">
        <f>IF(A24&lt;Inputs!$B$15,0,MIN($B$10,B24))</f>
        <v>0</v>
      </c>
      <c r="E24" s="10">
        <f t="shared" si="5"/>
        <v>240000</v>
      </c>
      <c r="F24" s="10">
        <f t="shared" si="6"/>
        <v>900000</v>
      </c>
      <c r="G24" s="10">
        <f>IF(A24&lt;Inputs!$B$15,0,F24*$C$6/12)</f>
        <v>0</v>
      </c>
      <c r="H24" s="10">
        <f>IF(A24&lt;Inputs!$B$15,0,MIN($C$10,F24+G24))</f>
        <v>0</v>
      </c>
      <c r="I24" s="10">
        <f t="shared" si="7"/>
        <v>900000</v>
      </c>
      <c r="J24" s="10">
        <f t="shared" si="8"/>
        <v>0</v>
      </c>
    </row>
    <row r="25" ht="15.75" customHeight="1">
      <c r="A25" s="50">
        <f t="shared" si="2"/>
        <v>8</v>
      </c>
      <c r="B25" s="10">
        <f t="shared" si="3"/>
        <v>240000</v>
      </c>
      <c r="C25" s="10">
        <f t="shared" si="4"/>
        <v>0</v>
      </c>
      <c r="D25" s="10">
        <f>IF(A25&lt;Inputs!$B$15,0,MIN($B$10,B25))</f>
        <v>0</v>
      </c>
      <c r="E25" s="10">
        <f t="shared" si="5"/>
        <v>240000</v>
      </c>
      <c r="F25" s="10">
        <f t="shared" si="6"/>
        <v>900000</v>
      </c>
      <c r="G25" s="10">
        <f>IF(A25&lt;Inputs!$B$15,0,F25*$C$6/12)</f>
        <v>0</v>
      </c>
      <c r="H25" s="10">
        <f>IF(A25&lt;Inputs!$B$15,0,MIN($C$10,F25+G25))</f>
        <v>0</v>
      </c>
      <c r="I25" s="10">
        <f t="shared" si="7"/>
        <v>900000</v>
      </c>
      <c r="J25" s="10">
        <f t="shared" si="8"/>
        <v>0</v>
      </c>
    </row>
    <row r="26" ht="15.75" customHeight="1">
      <c r="A26" s="50">
        <f t="shared" si="2"/>
        <v>9</v>
      </c>
      <c r="B26" s="10">
        <f t="shared" si="3"/>
        <v>240000</v>
      </c>
      <c r="C26" s="10">
        <f t="shared" si="4"/>
        <v>0</v>
      </c>
      <c r="D26" s="10">
        <f>IF(A26&lt;Inputs!$B$15,0,MIN($B$10,B26))</f>
        <v>0</v>
      </c>
      <c r="E26" s="10">
        <f t="shared" si="5"/>
        <v>240000</v>
      </c>
      <c r="F26" s="10">
        <f t="shared" si="6"/>
        <v>900000</v>
      </c>
      <c r="G26" s="10">
        <f>IF(A26&lt;Inputs!$B$15,0,F26*$C$6/12)</f>
        <v>0</v>
      </c>
      <c r="H26" s="10">
        <f>IF(A26&lt;Inputs!$B$15,0,MIN($C$10,F26+G26))</f>
        <v>0</v>
      </c>
      <c r="I26" s="10">
        <f t="shared" si="7"/>
        <v>900000</v>
      </c>
      <c r="J26" s="10">
        <f t="shared" si="8"/>
        <v>0</v>
      </c>
    </row>
    <row r="27" ht="15.75" customHeight="1">
      <c r="A27" s="50">
        <f t="shared" si="2"/>
        <v>10</v>
      </c>
      <c r="B27" s="10">
        <f t="shared" si="3"/>
        <v>240000</v>
      </c>
      <c r="C27" s="10">
        <f t="shared" si="4"/>
        <v>0</v>
      </c>
      <c r="D27" s="10">
        <f>IF(A27&lt;Inputs!$B$15,0,MIN($B$10,B27))</f>
        <v>0</v>
      </c>
      <c r="E27" s="10">
        <f t="shared" si="5"/>
        <v>240000</v>
      </c>
      <c r="F27" s="10">
        <f t="shared" si="6"/>
        <v>900000</v>
      </c>
      <c r="G27" s="10">
        <f>IF(A27&lt;Inputs!$B$15,0,F27*$C$6/12)</f>
        <v>0</v>
      </c>
      <c r="H27" s="10">
        <f>IF(A27&lt;Inputs!$B$15,0,MIN($C$10,F27+G27))</f>
        <v>0</v>
      </c>
      <c r="I27" s="10">
        <f t="shared" si="7"/>
        <v>900000</v>
      </c>
      <c r="J27" s="10">
        <f t="shared" si="8"/>
        <v>0</v>
      </c>
    </row>
    <row r="28" ht="15.75" customHeight="1">
      <c r="A28" s="50">
        <f t="shared" si="2"/>
        <v>11</v>
      </c>
      <c r="B28" s="10">
        <f t="shared" si="3"/>
        <v>240000</v>
      </c>
      <c r="C28" s="10">
        <f t="shared" si="4"/>
        <v>0</v>
      </c>
      <c r="D28" s="10">
        <f>IF(A28&lt;Inputs!$B$15,0,MIN($B$10,B28))</f>
        <v>0</v>
      </c>
      <c r="E28" s="10">
        <f t="shared" si="5"/>
        <v>240000</v>
      </c>
      <c r="F28" s="10">
        <f t="shared" si="6"/>
        <v>900000</v>
      </c>
      <c r="G28" s="10">
        <f>IF(A28&lt;Inputs!$B$15,0,F28*$C$6/12)</f>
        <v>0</v>
      </c>
      <c r="H28" s="10">
        <f>IF(A28&lt;Inputs!$B$15,0,MIN($C$10,F28+G28))</f>
        <v>0</v>
      </c>
      <c r="I28" s="10">
        <f t="shared" si="7"/>
        <v>900000</v>
      </c>
      <c r="J28" s="10">
        <f t="shared" si="8"/>
        <v>0</v>
      </c>
    </row>
    <row r="29" ht="15.75" customHeight="1">
      <c r="A29" s="50">
        <f t="shared" si="2"/>
        <v>12</v>
      </c>
      <c r="B29" s="10">
        <f t="shared" si="3"/>
        <v>240000</v>
      </c>
      <c r="C29" s="10">
        <f t="shared" si="4"/>
        <v>0</v>
      </c>
      <c r="D29" s="10">
        <f>IF(A29&lt;Inputs!$B$15,0,MIN($B$10,B29))</f>
        <v>4000</v>
      </c>
      <c r="E29" s="10">
        <f t="shared" si="5"/>
        <v>236000</v>
      </c>
      <c r="F29" s="10">
        <f t="shared" si="6"/>
        <v>900000</v>
      </c>
      <c r="G29" s="10">
        <f>IF(A29&lt;Inputs!$B$15,0,F29*$C$6/12)</f>
        <v>3562.5</v>
      </c>
      <c r="H29" s="10">
        <f>IF(A29&lt;Inputs!$B$15,0,MIN($C$10,F29+G29))</f>
        <v>16881.22078</v>
      </c>
      <c r="I29" s="10">
        <f t="shared" si="7"/>
        <v>886681.2792</v>
      </c>
      <c r="J29" s="10">
        <f t="shared" si="8"/>
        <v>20881.22078</v>
      </c>
    </row>
    <row r="30" ht="15.75" customHeight="1">
      <c r="A30" s="50">
        <f t="shared" si="2"/>
        <v>13</v>
      </c>
      <c r="B30" s="10">
        <f t="shared" si="3"/>
        <v>236000</v>
      </c>
      <c r="C30" s="10">
        <f t="shared" si="4"/>
        <v>0</v>
      </c>
      <c r="D30" s="10">
        <f>IF(A30&lt;Inputs!$B$15,0,MIN($B$10,B30))</f>
        <v>4000</v>
      </c>
      <c r="E30" s="10">
        <f t="shared" si="5"/>
        <v>232000</v>
      </c>
      <c r="F30" s="10">
        <f t="shared" si="6"/>
        <v>886681.2792</v>
      </c>
      <c r="G30" s="10">
        <f>IF(A30&lt;Inputs!$B$15,0,F30*$C$6/12)</f>
        <v>3509.780064</v>
      </c>
      <c r="H30" s="10">
        <f>IF(A30&lt;Inputs!$B$15,0,MIN($C$10,F30+G30))</f>
        <v>16881.22078</v>
      </c>
      <c r="I30" s="10">
        <f t="shared" si="7"/>
        <v>873309.8385</v>
      </c>
      <c r="J30" s="10">
        <f t="shared" si="8"/>
        <v>20881.22078</v>
      </c>
    </row>
    <row r="31" ht="15.75" customHeight="1">
      <c r="A31" s="50">
        <f t="shared" si="2"/>
        <v>14</v>
      </c>
      <c r="B31" s="10">
        <f t="shared" si="3"/>
        <v>232000</v>
      </c>
      <c r="C31" s="10">
        <f t="shared" si="4"/>
        <v>0</v>
      </c>
      <c r="D31" s="10">
        <f>IF(A31&lt;Inputs!$B$15,0,MIN($B$10,B31))</f>
        <v>4000</v>
      </c>
      <c r="E31" s="10">
        <f t="shared" si="5"/>
        <v>228000</v>
      </c>
      <c r="F31" s="10">
        <f t="shared" si="6"/>
        <v>873309.8385</v>
      </c>
      <c r="G31" s="10">
        <f>IF(A31&lt;Inputs!$B$15,0,F31*$C$6/12)</f>
        <v>3456.851444</v>
      </c>
      <c r="H31" s="10">
        <f>IF(A31&lt;Inputs!$B$15,0,MIN($C$10,F31+G31))</f>
        <v>16881.22078</v>
      </c>
      <c r="I31" s="10">
        <f t="shared" si="7"/>
        <v>859885.4692</v>
      </c>
      <c r="J31" s="10">
        <f t="shared" si="8"/>
        <v>20881.22078</v>
      </c>
    </row>
    <row r="32" ht="15.75" customHeight="1">
      <c r="A32" s="50">
        <f t="shared" si="2"/>
        <v>15</v>
      </c>
      <c r="B32" s="10">
        <f t="shared" si="3"/>
        <v>228000</v>
      </c>
      <c r="C32" s="10">
        <f t="shared" si="4"/>
        <v>0</v>
      </c>
      <c r="D32" s="10">
        <f>IF(A32&lt;Inputs!$B$15,0,MIN($B$10,B32))</f>
        <v>4000</v>
      </c>
      <c r="E32" s="10">
        <f t="shared" si="5"/>
        <v>224000</v>
      </c>
      <c r="F32" s="10">
        <f t="shared" si="6"/>
        <v>859885.4692</v>
      </c>
      <c r="G32" s="10">
        <f>IF(A32&lt;Inputs!$B$15,0,F32*$C$6/12)</f>
        <v>3403.713315</v>
      </c>
      <c r="H32" s="10">
        <f>IF(A32&lt;Inputs!$B$15,0,MIN($C$10,F32+G32))</f>
        <v>16881.22078</v>
      </c>
      <c r="I32" s="10">
        <f t="shared" si="7"/>
        <v>846407.9617</v>
      </c>
      <c r="J32" s="10">
        <f t="shared" si="8"/>
        <v>20881.22078</v>
      </c>
    </row>
    <row r="33" ht="15.75" customHeight="1">
      <c r="A33" s="50">
        <f t="shared" si="2"/>
        <v>16</v>
      </c>
      <c r="B33" s="10">
        <f t="shared" si="3"/>
        <v>224000</v>
      </c>
      <c r="C33" s="10">
        <f t="shared" si="4"/>
        <v>0</v>
      </c>
      <c r="D33" s="10">
        <f>IF(A33&lt;Inputs!$B$15,0,MIN($B$10,B33))</f>
        <v>4000</v>
      </c>
      <c r="E33" s="10">
        <f t="shared" si="5"/>
        <v>220000</v>
      </c>
      <c r="F33" s="10">
        <f t="shared" si="6"/>
        <v>846407.9617</v>
      </c>
      <c r="G33" s="10">
        <f>IF(A33&lt;Inputs!$B$15,0,F33*$C$6/12)</f>
        <v>3350.364848</v>
      </c>
      <c r="H33" s="10">
        <f>IF(A33&lt;Inputs!$B$15,0,MIN($C$10,F33+G33))</f>
        <v>16881.22078</v>
      </c>
      <c r="I33" s="10">
        <f t="shared" si="7"/>
        <v>832877.1058</v>
      </c>
      <c r="J33" s="10">
        <f t="shared" si="8"/>
        <v>20881.22078</v>
      </c>
    </row>
    <row r="34" ht="15.75" customHeight="1">
      <c r="A34" s="50">
        <f t="shared" si="2"/>
        <v>17</v>
      </c>
      <c r="B34" s="10">
        <f t="shared" si="3"/>
        <v>220000</v>
      </c>
      <c r="C34" s="10">
        <f t="shared" si="4"/>
        <v>0</v>
      </c>
      <c r="D34" s="10">
        <f>IF(A34&lt;Inputs!$B$15,0,MIN($B$10,B34))</f>
        <v>4000</v>
      </c>
      <c r="E34" s="10">
        <f t="shared" si="5"/>
        <v>216000</v>
      </c>
      <c r="F34" s="10">
        <f t="shared" si="6"/>
        <v>832877.1058</v>
      </c>
      <c r="G34" s="10">
        <f>IF(A34&lt;Inputs!$B$15,0,F34*$C$6/12)</f>
        <v>3296.80521</v>
      </c>
      <c r="H34" s="10">
        <f>IF(A34&lt;Inputs!$B$15,0,MIN($C$10,F34+G34))</f>
        <v>16881.22078</v>
      </c>
      <c r="I34" s="10">
        <f t="shared" si="7"/>
        <v>819292.6902</v>
      </c>
      <c r="J34" s="10">
        <f t="shared" si="8"/>
        <v>20881.22078</v>
      </c>
    </row>
    <row r="35" ht="15.75" customHeight="1">
      <c r="A35" s="50">
        <f t="shared" si="2"/>
        <v>18</v>
      </c>
      <c r="B35" s="10">
        <f t="shared" si="3"/>
        <v>216000</v>
      </c>
      <c r="C35" s="10">
        <f t="shared" si="4"/>
        <v>0</v>
      </c>
      <c r="D35" s="10">
        <f>IF(A35&lt;Inputs!$B$15,0,MIN($B$10,B35))</f>
        <v>4000</v>
      </c>
      <c r="E35" s="10">
        <f t="shared" si="5"/>
        <v>212000</v>
      </c>
      <c r="F35" s="10">
        <f t="shared" si="6"/>
        <v>819292.6902</v>
      </c>
      <c r="G35" s="10">
        <f>IF(A35&lt;Inputs!$B$15,0,F35*$C$6/12)</f>
        <v>3243.033565</v>
      </c>
      <c r="H35" s="10">
        <f>IF(A35&lt;Inputs!$B$15,0,MIN($C$10,F35+G35))</f>
        <v>16881.22078</v>
      </c>
      <c r="I35" s="10">
        <f t="shared" si="7"/>
        <v>805654.503</v>
      </c>
      <c r="J35" s="10">
        <f t="shared" si="8"/>
        <v>20881.22078</v>
      </c>
    </row>
    <row r="36" ht="15.75" customHeight="1">
      <c r="A36" s="50">
        <f t="shared" si="2"/>
        <v>19</v>
      </c>
      <c r="B36" s="10">
        <f t="shared" si="3"/>
        <v>212000</v>
      </c>
      <c r="C36" s="10">
        <f t="shared" si="4"/>
        <v>0</v>
      </c>
      <c r="D36" s="10">
        <f>IF(A36&lt;Inputs!$B$15,0,MIN($B$10,B36))</f>
        <v>4000</v>
      </c>
      <c r="E36" s="10">
        <f t="shared" si="5"/>
        <v>208000</v>
      </c>
      <c r="F36" s="10">
        <f t="shared" si="6"/>
        <v>805654.503</v>
      </c>
      <c r="G36" s="10">
        <f>IF(A36&lt;Inputs!$B$15,0,F36*$C$6/12)</f>
        <v>3189.049074</v>
      </c>
      <c r="H36" s="10">
        <f>IF(A36&lt;Inputs!$B$15,0,MIN($C$10,F36+G36))</f>
        <v>16881.22078</v>
      </c>
      <c r="I36" s="10">
        <f t="shared" si="7"/>
        <v>791962.3313</v>
      </c>
      <c r="J36" s="10">
        <f t="shared" si="8"/>
        <v>20881.22078</v>
      </c>
    </row>
    <row r="37" ht="15.75" customHeight="1">
      <c r="A37" s="50">
        <f t="shared" si="2"/>
        <v>20</v>
      </c>
      <c r="B37" s="10">
        <f t="shared" si="3"/>
        <v>208000</v>
      </c>
      <c r="C37" s="10">
        <f t="shared" si="4"/>
        <v>0</v>
      </c>
      <c r="D37" s="10">
        <f>IF(A37&lt;Inputs!$B$15,0,MIN($B$10,B37))</f>
        <v>4000</v>
      </c>
      <c r="E37" s="10">
        <f t="shared" si="5"/>
        <v>204000</v>
      </c>
      <c r="F37" s="10">
        <f t="shared" si="6"/>
        <v>791962.3313</v>
      </c>
      <c r="G37" s="10">
        <f>IF(A37&lt;Inputs!$B$15,0,F37*$C$6/12)</f>
        <v>3134.850895</v>
      </c>
      <c r="H37" s="10">
        <f>IF(A37&lt;Inputs!$B$15,0,MIN($C$10,F37+G37))</f>
        <v>16881.22078</v>
      </c>
      <c r="I37" s="10">
        <f t="shared" si="7"/>
        <v>778215.9614</v>
      </c>
      <c r="J37" s="10">
        <f t="shared" si="8"/>
        <v>20881.22078</v>
      </c>
    </row>
    <row r="38" ht="15.75" customHeight="1">
      <c r="A38" s="50">
        <f t="shared" si="2"/>
        <v>21</v>
      </c>
      <c r="B38" s="10">
        <f t="shared" si="3"/>
        <v>204000</v>
      </c>
      <c r="C38" s="10">
        <f t="shared" si="4"/>
        <v>0</v>
      </c>
      <c r="D38" s="10">
        <f>IF(A38&lt;Inputs!$B$15,0,MIN($B$10,B38))</f>
        <v>4000</v>
      </c>
      <c r="E38" s="10">
        <f t="shared" si="5"/>
        <v>200000</v>
      </c>
      <c r="F38" s="10">
        <f t="shared" si="6"/>
        <v>778215.9614</v>
      </c>
      <c r="G38" s="10">
        <f>IF(A38&lt;Inputs!$B$15,0,F38*$C$6/12)</f>
        <v>3080.43818</v>
      </c>
      <c r="H38" s="10">
        <f>IF(A38&lt;Inputs!$B$15,0,MIN($C$10,F38+G38))</f>
        <v>16881.22078</v>
      </c>
      <c r="I38" s="10">
        <f t="shared" si="7"/>
        <v>764415.1788</v>
      </c>
      <c r="J38" s="10">
        <f t="shared" si="8"/>
        <v>20881.22078</v>
      </c>
    </row>
    <row r="39" ht="15.75" customHeight="1">
      <c r="A39" s="50">
        <f t="shared" si="2"/>
        <v>22</v>
      </c>
      <c r="B39" s="10">
        <f t="shared" si="3"/>
        <v>200000</v>
      </c>
      <c r="C39" s="10">
        <f t="shared" si="4"/>
        <v>0</v>
      </c>
      <c r="D39" s="10">
        <f>IF(A39&lt;Inputs!$B$15,0,MIN($B$10,B39))</f>
        <v>4000</v>
      </c>
      <c r="E39" s="10">
        <f t="shared" si="5"/>
        <v>196000</v>
      </c>
      <c r="F39" s="10">
        <f t="shared" si="6"/>
        <v>764415.1788</v>
      </c>
      <c r="G39" s="10">
        <f>IF(A39&lt;Inputs!$B$15,0,F39*$C$6/12)</f>
        <v>3025.810083</v>
      </c>
      <c r="H39" s="10">
        <f>IF(A39&lt;Inputs!$B$15,0,MIN($C$10,F39+G39))</f>
        <v>16881.22078</v>
      </c>
      <c r="I39" s="10">
        <f t="shared" si="7"/>
        <v>750559.7681</v>
      </c>
      <c r="J39" s="10">
        <f t="shared" si="8"/>
        <v>20881.22078</v>
      </c>
    </row>
    <row r="40" ht="15.75" customHeight="1">
      <c r="A40" s="50">
        <f t="shared" si="2"/>
        <v>23</v>
      </c>
      <c r="B40" s="10">
        <f t="shared" si="3"/>
        <v>196000</v>
      </c>
      <c r="C40" s="10">
        <f t="shared" si="4"/>
        <v>0</v>
      </c>
      <c r="D40" s="10">
        <f>IF(A40&lt;Inputs!$B$15,0,MIN($B$10,B40))</f>
        <v>4000</v>
      </c>
      <c r="E40" s="10">
        <f t="shared" si="5"/>
        <v>192000</v>
      </c>
      <c r="F40" s="10">
        <f t="shared" si="6"/>
        <v>750559.7681</v>
      </c>
      <c r="G40" s="10">
        <f>IF(A40&lt;Inputs!$B$15,0,F40*$C$6/12)</f>
        <v>2970.965749</v>
      </c>
      <c r="H40" s="10">
        <f>IF(A40&lt;Inputs!$B$15,0,MIN($C$10,F40+G40))</f>
        <v>16881.22078</v>
      </c>
      <c r="I40" s="10">
        <f t="shared" si="7"/>
        <v>736649.5131</v>
      </c>
      <c r="J40" s="10">
        <f t="shared" si="8"/>
        <v>20881.22078</v>
      </c>
    </row>
    <row r="41" ht="15.75" customHeight="1">
      <c r="A41" s="50">
        <f t="shared" si="2"/>
        <v>24</v>
      </c>
      <c r="B41" s="10">
        <f t="shared" si="3"/>
        <v>192000</v>
      </c>
      <c r="C41" s="10">
        <f t="shared" si="4"/>
        <v>0</v>
      </c>
      <c r="D41" s="10">
        <f>IF(A41&lt;Inputs!$B$15,0,MIN($B$10,B41))</f>
        <v>4000</v>
      </c>
      <c r="E41" s="10">
        <f t="shared" si="5"/>
        <v>188000</v>
      </c>
      <c r="F41" s="10">
        <f t="shared" si="6"/>
        <v>736649.5131</v>
      </c>
      <c r="G41" s="10">
        <f>IF(A41&lt;Inputs!$B$15,0,F41*$C$6/12)</f>
        <v>2915.904323</v>
      </c>
      <c r="H41" s="10">
        <f>IF(A41&lt;Inputs!$B$15,0,MIN($C$10,F41+G41))</f>
        <v>16881.22078</v>
      </c>
      <c r="I41" s="10">
        <f t="shared" si="7"/>
        <v>722684.1966</v>
      </c>
      <c r="J41" s="10">
        <f t="shared" si="8"/>
        <v>20881.22078</v>
      </c>
    </row>
    <row r="42" ht="15.75" customHeight="1">
      <c r="A42" s="50">
        <f t="shared" si="2"/>
        <v>25</v>
      </c>
      <c r="B42" s="10">
        <f t="shared" si="3"/>
        <v>188000</v>
      </c>
      <c r="C42" s="10">
        <f t="shared" si="4"/>
        <v>0</v>
      </c>
      <c r="D42" s="10">
        <f>IF(A42&lt;Inputs!$B$15,0,MIN($B$10,B42))</f>
        <v>4000</v>
      </c>
      <c r="E42" s="10">
        <f t="shared" si="5"/>
        <v>184000</v>
      </c>
      <c r="F42" s="10">
        <f t="shared" si="6"/>
        <v>722684.1966</v>
      </c>
      <c r="G42" s="10">
        <f>IF(A42&lt;Inputs!$B$15,0,F42*$C$6/12)</f>
        <v>2860.624945</v>
      </c>
      <c r="H42" s="10">
        <f>IF(A42&lt;Inputs!$B$15,0,MIN($C$10,F42+G42))</f>
        <v>16881.22078</v>
      </c>
      <c r="I42" s="10">
        <f t="shared" si="7"/>
        <v>708663.6008</v>
      </c>
      <c r="J42" s="10">
        <f t="shared" si="8"/>
        <v>20881.22078</v>
      </c>
    </row>
    <row r="43" ht="15.75" customHeight="1">
      <c r="A43" s="50">
        <f t="shared" si="2"/>
        <v>26</v>
      </c>
      <c r="B43" s="10">
        <f t="shared" si="3"/>
        <v>184000</v>
      </c>
      <c r="C43" s="10">
        <f t="shared" si="4"/>
        <v>0</v>
      </c>
      <c r="D43" s="10">
        <f>IF(A43&lt;Inputs!$B$15,0,MIN($B$10,B43))</f>
        <v>4000</v>
      </c>
      <c r="E43" s="10">
        <f t="shared" si="5"/>
        <v>180000</v>
      </c>
      <c r="F43" s="10">
        <f t="shared" si="6"/>
        <v>708663.6008</v>
      </c>
      <c r="G43" s="10">
        <f>IF(A43&lt;Inputs!$B$15,0,F43*$C$6/12)</f>
        <v>2805.126753</v>
      </c>
      <c r="H43" s="10">
        <f>IF(A43&lt;Inputs!$B$15,0,MIN($C$10,F43+G43))</f>
        <v>16881.22078</v>
      </c>
      <c r="I43" s="10">
        <f t="shared" si="7"/>
        <v>694587.5067</v>
      </c>
      <c r="J43" s="10">
        <f t="shared" si="8"/>
        <v>20881.22078</v>
      </c>
    </row>
    <row r="44" ht="15.75" customHeight="1">
      <c r="A44" s="50">
        <f t="shared" si="2"/>
        <v>27</v>
      </c>
      <c r="B44" s="10">
        <f t="shared" si="3"/>
        <v>180000</v>
      </c>
      <c r="C44" s="10">
        <f t="shared" si="4"/>
        <v>0</v>
      </c>
      <c r="D44" s="10">
        <f>IF(A44&lt;Inputs!$B$15,0,MIN($B$10,B44))</f>
        <v>4000</v>
      </c>
      <c r="E44" s="10">
        <f t="shared" si="5"/>
        <v>176000</v>
      </c>
      <c r="F44" s="10">
        <f t="shared" si="6"/>
        <v>694587.5067</v>
      </c>
      <c r="G44" s="10">
        <f>IF(A44&lt;Inputs!$B$15,0,F44*$C$6/12)</f>
        <v>2749.408881</v>
      </c>
      <c r="H44" s="10">
        <f>IF(A44&lt;Inputs!$B$15,0,MIN($C$10,F44+G44))</f>
        <v>16881.22078</v>
      </c>
      <c r="I44" s="10">
        <f t="shared" si="7"/>
        <v>680455.6948</v>
      </c>
      <c r="J44" s="10">
        <f t="shared" si="8"/>
        <v>20881.22078</v>
      </c>
    </row>
    <row r="45" ht="15.75" customHeight="1">
      <c r="A45" s="50">
        <f t="shared" si="2"/>
        <v>28</v>
      </c>
      <c r="B45" s="10">
        <f t="shared" si="3"/>
        <v>176000</v>
      </c>
      <c r="C45" s="10">
        <f t="shared" si="4"/>
        <v>0</v>
      </c>
      <c r="D45" s="10">
        <f>IF(A45&lt;Inputs!$B$15,0,MIN($B$10,B45))</f>
        <v>4000</v>
      </c>
      <c r="E45" s="10">
        <f t="shared" si="5"/>
        <v>172000</v>
      </c>
      <c r="F45" s="10">
        <f t="shared" si="6"/>
        <v>680455.6948</v>
      </c>
      <c r="G45" s="10">
        <f>IF(A45&lt;Inputs!$B$15,0,F45*$C$6/12)</f>
        <v>2693.470459</v>
      </c>
      <c r="H45" s="10">
        <f>IF(A45&lt;Inputs!$B$15,0,MIN($C$10,F45+G45))</f>
        <v>16881.22078</v>
      </c>
      <c r="I45" s="10">
        <f t="shared" si="7"/>
        <v>666267.9445</v>
      </c>
      <c r="J45" s="10">
        <f t="shared" si="8"/>
        <v>20881.22078</v>
      </c>
    </row>
    <row r="46" ht="15.75" customHeight="1">
      <c r="A46" s="50">
        <f t="shared" si="2"/>
        <v>29</v>
      </c>
      <c r="B46" s="10">
        <f t="shared" si="3"/>
        <v>172000</v>
      </c>
      <c r="C46" s="10">
        <f t="shared" si="4"/>
        <v>0</v>
      </c>
      <c r="D46" s="10">
        <f>IF(A46&lt;Inputs!$B$15,0,MIN($B$10,B46))</f>
        <v>4000</v>
      </c>
      <c r="E46" s="10">
        <f t="shared" si="5"/>
        <v>168000</v>
      </c>
      <c r="F46" s="10">
        <f t="shared" si="6"/>
        <v>666267.9445</v>
      </c>
      <c r="G46" s="10">
        <f>IF(A46&lt;Inputs!$B$15,0,F46*$C$6/12)</f>
        <v>2637.310614</v>
      </c>
      <c r="H46" s="10">
        <f>IF(A46&lt;Inputs!$B$15,0,MIN($C$10,F46+G46))</f>
        <v>16881.22078</v>
      </c>
      <c r="I46" s="10">
        <f t="shared" si="7"/>
        <v>652024.0343</v>
      </c>
      <c r="J46" s="10">
        <f t="shared" si="8"/>
        <v>20881.22078</v>
      </c>
    </row>
    <row r="47" ht="15.75" customHeight="1">
      <c r="A47" s="50">
        <f t="shared" si="2"/>
        <v>30</v>
      </c>
      <c r="B47" s="10">
        <f t="shared" si="3"/>
        <v>168000</v>
      </c>
      <c r="C47" s="10">
        <f t="shared" si="4"/>
        <v>0</v>
      </c>
      <c r="D47" s="10">
        <f>IF(A47&lt;Inputs!$B$15,0,MIN($B$10,B47))</f>
        <v>4000</v>
      </c>
      <c r="E47" s="10">
        <f t="shared" si="5"/>
        <v>164000</v>
      </c>
      <c r="F47" s="10">
        <f t="shared" si="6"/>
        <v>652024.0343</v>
      </c>
      <c r="G47" s="10">
        <f>IF(A47&lt;Inputs!$B$15,0,F47*$C$6/12)</f>
        <v>2580.928469</v>
      </c>
      <c r="H47" s="10">
        <f>IF(A47&lt;Inputs!$B$15,0,MIN($C$10,F47+G47))</f>
        <v>16881.22078</v>
      </c>
      <c r="I47" s="10">
        <f t="shared" si="7"/>
        <v>637723.742</v>
      </c>
      <c r="J47" s="10">
        <f t="shared" si="8"/>
        <v>20881.22078</v>
      </c>
    </row>
    <row r="48" ht="15.75" customHeight="1">
      <c r="A48" s="50">
        <f t="shared" si="2"/>
        <v>31</v>
      </c>
      <c r="B48" s="10">
        <f t="shared" si="3"/>
        <v>164000</v>
      </c>
      <c r="C48" s="10">
        <f t="shared" si="4"/>
        <v>0</v>
      </c>
      <c r="D48" s="10">
        <f>IF(A48&lt;Inputs!$B$15,0,MIN($B$10,B48))</f>
        <v>4000</v>
      </c>
      <c r="E48" s="10">
        <f t="shared" si="5"/>
        <v>160000</v>
      </c>
      <c r="F48" s="10">
        <f t="shared" si="6"/>
        <v>637723.742</v>
      </c>
      <c r="G48" s="10">
        <f>IF(A48&lt;Inputs!$B$15,0,F48*$C$6/12)</f>
        <v>2524.323146</v>
      </c>
      <c r="H48" s="10">
        <f>IF(A48&lt;Inputs!$B$15,0,MIN($C$10,F48+G48))</f>
        <v>16881.22078</v>
      </c>
      <c r="I48" s="10">
        <f t="shared" si="7"/>
        <v>623366.8444</v>
      </c>
      <c r="J48" s="10">
        <f t="shared" si="8"/>
        <v>20881.22078</v>
      </c>
    </row>
    <row r="49" ht="15.75" customHeight="1">
      <c r="A49" s="50">
        <f t="shared" si="2"/>
        <v>32</v>
      </c>
      <c r="B49" s="10">
        <f t="shared" si="3"/>
        <v>160000</v>
      </c>
      <c r="C49" s="10">
        <f t="shared" si="4"/>
        <v>0</v>
      </c>
      <c r="D49" s="10">
        <f>IF(A49&lt;Inputs!$B$15,0,MIN($B$10,B49))</f>
        <v>4000</v>
      </c>
      <c r="E49" s="10">
        <f t="shared" si="5"/>
        <v>156000</v>
      </c>
      <c r="F49" s="10">
        <f t="shared" si="6"/>
        <v>623366.8444</v>
      </c>
      <c r="G49" s="10">
        <f>IF(A49&lt;Inputs!$B$15,0,F49*$C$6/12)</f>
        <v>2467.493759</v>
      </c>
      <c r="H49" s="10">
        <f>IF(A49&lt;Inputs!$B$15,0,MIN($C$10,F49+G49))</f>
        <v>16881.22078</v>
      </c>
      <c r="I49" s="10">
        <f t="shared" si="7"/>
        <v>608953.1174</v>
      </c>
      <c r="J49" s="10">
        <f t="shared" si="8"/>
        <v>20881.22078</v>
      </c>
    </row>
    <row r="50" ht="15.75" customHeight="1">
      <c r="A50" s="50">
        <f t="shared" si="2"/>
        <v>33</v>
      </c>
      <c r="B50" s="10">
        <f t="shared" si="3"/>
        <v>156000</v>
      </c>
      <c r="C50" s="10">
        <f t="shared" si="4"/>
        <v>0</v>
      </c>
      <c r="D50" s="10">
        <f>IF(A50&lt;Inputs!$B$15,0,MIN($B$10,B50))</f>
        <v>4000</v>
      </c>
      <c r="E50" s="10">
        <f t="shared" si="5"/>
        <v>152000</v>
      </c>
      <c r="F50" s="10">
        <f t="shared" si="6"/>
        <v>608953.1174</v>
      </c>
      <c r="G50" s="10">
        <f>IF(A50&lt;Inputs!$B$15,0,F50*$C$6/12)</f>
        <v>2410.439423</v>
      </c>
      <c r="H50" s="10">
        <f>IF(A50&lt;Inputs!$B$15,0,MIN($C$10,F50+G50))</f>
        <v>16881.22078</v>
      </c>
      <c r="I50" s="10">
        <f t="shared" si="7"/>
        <v>594482.336</v>
      </c>
      <c r="J50" s="10">
        <f t="shared" si="8"/>
        <v>20881.22078</v>
      </c>
    </row>
    <row r="51" ht="15.75" customHeight="1">
      <c r="A51" s="50">
        <f t="shared" si="2"/>
        <v>34</v>
      </c>
      <c r="B51" s="10">
        <f t="shared" si="3"/>
        <v>152000</v>
      </c>
      <c r="C51" s="10">
        <f t="shared" si="4"/>
        <v>0</v>
      </c>
      <c r="D51" s="10">
        <f>IF(A51&lt;Inputs!$B$15,0,MIN($B$10,B51))</f>
        <v>4000</v>
      </c>
      <c r="E51" s="10">
        <f t="shared" si="5"/>
        <v>148000</v>
      </c>
      <c r="F51" s="10">
        <f t="shared" si="6"/>
        <v>594482.336</v>
      </c>
      <c r="G51" s="10">
        <f>IF(A51&lt;Inputs!$B$15,0,F51*$C$6/12)</f>
        <v>2353.159247</v>
      </c>
      <c r="H51" s="10">
        <f>IF(A51&lt;Inputs!$B$15,0,MIN($C$10,F51+G51))</f>
        <v>16881.22078</v>
      </c>
      <c r="I51" s="10">
        <f t="shared" si="7"/>
        <v>579954.2745</v>
      </c>
      <c r="J51" s="10">
        <f t="shared" si="8"/>
        <v>20881.22078</v>
      </c>
    </row>
    <row r="52" ht="15.75" customHeight="1">
      <c r="A52" s="50">
        <f t="shared" si="2"/>
        <v>35</v>
      </c>
      <c r="B52" s="10">
        <f t="shared" si="3"/>
        <v>148000</v>
      </c>
      <c r="C52" s="10">
        <f t="shared" si="4"/>
        <v>0</v>
      </c>
      <c r="D52" s="10">
        <f>IF(A52&lt;Inputs!$B$15,0,MIN($B$10,B52))</f>
        <v>4000</v>
      </c>
      <c r="E52" s="10">
        <f t="shared" si="5"/>
        <v>144000</v>
      </c>
      <c r="F52" s="10">
        <f t="shared" si="6"/>
        <v>579954.2745</v>
      </c>
      <c r="G52" s="10">
        <f>IF(A52&lt;Inputs!$B$15,0,F52*$C$6/12)</f>
        <v>2295.652336</v>
      </c>
      <c r="H52" s="10">
        <f>IF(A52&lt;Inputs!$B$15,0,MIN($C$10,F52+G52))</f>
        <v>16881.22078</v>
      </c>
      <c r="I52" s="10">
        <f t="shared" si="7"/>
        <v>565368.706</v>
      </c>
      <c r="J52" s="10">
        <f t="shared" si="8"/>
        <v>20881.22078</v>
      </c>
    </row>
    <row r="53" ht="15.75" customHeight="1">
      <c r="A53" s="50">
        <f t="shared" si="2"/>
        <v>36</v>
      </c>
      <c r="B53" s="10">
        <f t="shared" si="3"/>
        <v>144000</v>
      </c>
      <c r="C53" s="10">
        <f t="shared" si="4"/>
        <v>0</v>
      </c>
      <c r="D53" s="10">
        <f>IF(A53&lt;Inputs!$B$15,0,MIN($B$10,B53))</f>
        <v>4000</v>
      </c>
      <c r="E53" s="10">
        <f t="shared" si="5"/>
        <v>140000</v>
      </c>
      <c r="F53" s="10">
        <f t="shared" si="6"/>
        <v>565368.706</v>
      </c>
      <c r="G53" s="10">
        <f>IF(A53&lt;Inputs!$B$15,0,F53*$C$6/12)</f>
        <v>2237.917795</v>
      </c>
      <c r="H53" s="10">
        <f>IF(A53&lt;Inputs!$B$15,0,MIN($C$10,F53+G53))</f>
        <v>16881.22078</v>
      </c>
      <c r="I53" s="10">
        <f t="shared" si="7"/>
        <v>550725.403</v>
      </c>
      <c r="J53" s="10">
        <f t="shared" si="8"/>
        <v>20881.22078</v>
      </c>
    </row>
    <row r="54" ht="15.75" customHeight="1">
      <c r="A54" s="50">
        <f t="shared" si="2"/>
        <v>37</v>
      </c>
      <c r="B54" s="10">
        <f t="shared" si="3"/>
        <v>140000</v>
      </c>
      <c r="C54" s="10">
        <f t="shared" si="4"/>
        <v>0</v>
      </c>
      <c r="D54" s="10">
        <f>IF(A54&lt;Inputs!$B$15,0,MIN($B$10,B54))</f>
        <v>4000</v>
      </c>
      <c r="E54" s="10">
        <f t="shared" si="5"/>
        <v>136000</v>
      </c>
      <c r="F54" s="10">
        <f t="shared" si="6"/>
        <v>550725.403</v>
      </c>
      <c r="G54" s="10">
        <f>IF(A54&lt;Inputs!$B$15,0,F54*$C$6/12)</f>
        <v>2179.95472</v>
      </c>
      <c r="H54" s="10">
        <f>IF(A54&lt;Inputs!$B$15,0,MIN($C$10,F54+G54))</f>
        <v>16881.22078</v>
      </c>
      <c r="I54" s="10">
        <f t="shared" si="7"/>
        <v>536024.137</v>
      </c>
      <c r="J54" s="10">
        <f t="shared" si="8"/>
        <v>20881.22078</v>
      </c>
    </row>
    <row r="55" ht="15.75" customHeight="1">
      <c r="A55" s="50">
        <f t="shared" si="2"/>
        <v>38</v>
      </c>
      <c r="B55" s="10">
        <f t="shared" si="3"/>
        <v>136000</v>
      </c>
      <c r="C55" s="10">
        <f t="shared" si="4"/>
        <v>0</v>
      </c>
      <c r="D55" s="10">
        <f>IF(A55&lt;Inputs!$B$15,0,MIN($B$10,B55))</f>
        <v>4000</v>
      </c>
      <c r="E55" s="10">
        <f t="shared" si="5"/>
        <v>132000</v>
      </c>
      <c r="F55" s="10">
        <f t="shared" si="6"/>
        <v>536024.137</v>
      </c>
      <c r="G55" s="10">
        <f>IF(A55&lt;Inputs!$B$15,0,F55*$C$6/12)</f>
        <v>2121.762209</v>
      </c>
      <c r="H55" s="10">
        <f>IF(A55&lt;Inputs!$B$15,0,MIN($C$10,F55+G55))</f>
        <v>16881.22078</v>
      </c>
      <c r="I55" s="10">
        <f t="shared" si="7"/>
        <v>521264.6784</v>
      </c>
      <c r="J55" s="10">
        <f t="shared" si="8"/>
        <v>20881.22078</v>
      </c>
    </row>
    <row r="56" ht="15.75" customHeight="1">
      <c r="A56" s="50">
        <f t="shared" si="2"/>
        <v>39</v>
      </c>
      <c r="B56" s="10">
        <f t="shared" si="3"/>
        <v>132000</v>
      </c>
      <c r="C56" s="10">
        <f t="shared" si="4"/>
        <v>0</v>
      </c>
      <c r="D56" s="10">
        <f>IF(A56&lt;Inputs!$B$15,0,MIN($B$10,B56))</f>
        <v>4000</v>
      </c>
      <c r="E56" s="10">
        <f t="shared" si="5"/>
        <v>128000</v>
      </c>
      <c r="F56" s="10">
        <f t="shared" si="6"/>
        <v>521264.6784</v>
      </c>
      <c r="G56" s="10">
        <f>IF(A56&lt;Inputs!$B$15,0,F56*$C$6/12)</f>
        <v>2063.339352</v>
      </c>
      <c r="H56" s="10">
        <f>IF(A56&lt;Inputs!$B$15,0,MIN($C$10,F56+G56))</f>
        <v>16881.22078</v>
      </c>
      <c r="I56" s="10">
        <f t="shared" si="7"/>
        <v>506446.797</v>
      </c>
      <c r="J56" s="10">
        <f t="shared" si="8"/>
        <v>20881.22078</v>
      </c>
    </row>
    <row r="57" ht="15.75" customHeight="1">
      <c r="A57" s="50">
        <f t="shared" si="2"/>
        <v>40</v>
      </c>
      <c r="B57" s="10">
        <f t="shared" si="3"/>
        <v>128000</v>
      </c>
      <c r="C57" s="10">
        <f t="shared" si="4"/>
        <v>0</v>
      </c>
      <c r="D57" s="10">
        <f>IF(A57&lt;Inputs!$B$15,0,MIN($B$10,B57))</f>
        <v>4000</v>
      </c>
      <c r="E57" s="10">
        <f t="shared" si="5"/>
        <v>124000</v>
      </c>
      <c r="F57" s="10">
        <f t="shared" si="6"/>
        <v>506446.797</v>
      </c>
      <c r="G57" s="10">
        <f>IF(A57&lt;Inputs!$B$15,0,F57*$C$6/12)</f>
        <v>2004.685238</v>
      </c>
      <c r="H57" s="10">
        <f>IF(A57&lt;Inputs!$B$15,0,MIN($C$10,F57+G57))</f>
        <v>16881.22078</v>
      </c>
      <c r="I57" s="10">
        <f t="shared" si="7"/>
        <v>491570.2614</v>
      </c>
      <c r="J57" s="10">
        <f t="shared" si="8"/>
        <v>20881.22078</v>
      </c>
    </row>
    <row r="58" ht="15.75" customHeight="1">
      <c r="A58" s="50">
        <f t="shared" si="2"/>
        <v>41</v>
      </c>
      <c r="B58" s="10">
        <f t="shared" si="3"/>
        <v>124000</v>
      </c>
      <c r="C58" s="10">
        <f t="shared" si="4"/>
        <v>0</v>
      </c>
      <c r="D58" s="10">
        <f>IF(A58&lt;Inputs!$B$15,0,MIN($B$10,B58))</f>
        <v>4000</v>
      </c>
      <c r="E58" s="10">
        <f t="shared" si="5"/>
        <v>120000</v>
      </c>
      <c r="F58" s="10">
        <f t="shared" si="6"/>
        <v>491570.2614</v>
      </c>
      <c r="G58" s="10">
        <f>IF(A58&lt;Inputs!$B$15,0,F58*$C$6/12)</f>
        <v>1945.798952</v>
      </c>
      <c r="H58" s="10">
        <f>IF(A58&lt;Inputs!$B$15,0,MIN($C$10,F58+G58))</f>
        <v>16881.22078</v>
      </c>
      <c r="I58" s="10">
        <f t="shared" si="7"/>
        <v>476634.8396</v>
      </c>
      <c r="J58" s="10">
        <f t="shared" si="8"/>
        <v>20881.22078</v>
      </c>
    </row>
    <row r="59" ht="15.75" customHeight="1">
      <c r="A59" s="50">
        <f t="shared" si="2"/>
        <v>42</v>
      </c>
      <c r="B59" s="10">
        <f t="shared" si="3"/>
        <v>120000</v>
      </c>
      <c r="C59" s="10">
        <f t="shared" si="4"/>
        <v>0</v>
      </c>
      <c r="D59" s="10">
        <f>IF(A59&lt;Inputs!$B$15,0,MIN($B$10,B59))</f>
        <v>4000</v>
      </c>
      <c r="E59" s="10">
        <f t="shared" si="5"/>
        <v>116000</v>
      </c>
      <c r="F59" s="10">
        <f t="shared" si="6"/>
        <v>476634.8396</v>
      </c>
      <c r="G59" s="10">
        <f>IF(A59&lt;Inputs!$B$15,0,F59*$C$6/12)</f>
        <v>1886.679573</v>
      </c>
      <c r="H59" s="10">
        <f>IF(A59&lt;Inputs!$B$15,0,MIN($C$10,F59+G59))</f>
        <v>16881.22078</v>
      </c>
      <c r="I59" s="10">
        <f t="shared" si="7"/>
        <v>461640.2984</v>
      </c>
      <c r="J59" s="10">
        <f t="shared" si="8"/>
        <v>20881.22078</v>
      </c>
    </row>
    <row r="60" ht="15.75" customHeight="1">
      <c r="A60" s="50">
        <f t="shared" si="2"/>
        <v>43</v>
      </c>
      <c r="B60" s="10">
        <f t="shared" si="3"/>
        <v>116000</v>
      </c>
      <c r="C60" s="10">
        <f t="shared" si="4"/>
        <v>0</v>
      </c>
      <c r="D60" s="10">
        <f>IF(A60&lt;Inputs!$B$15,0,MIN($B$10,B60))</f>
        <v>4000</v>
      </c>
      <c r="E60" s="10">
        <f t="shared" si="5"/>
        <v>112000</v>
      </c>
      <c r="F60" s="10">
        <f t="shared" si="6"/>
        <v>461640.2984</v>
      </c>
      <c r="G60" s="10">
        <f>IF(A60&lt;Inputs!$B$15,0,F60*$C$6/12)</f>
        <v>1827.326181</v>
      </c>
      <c r="H60" s="10">
        <f>IF(A60&lt;Inputs!$B$15,0,MIN($C$10,F60+G60))</f>
        <v>16881.22078</v>
      </c>
      <c r="I60" s="10">
        <f t="shared" si="7"/>
        <v>446586.4038</v>
      </c>
      <c r="J60" s="10">
        <f t="shared" si="8"/>
        <v>20881.22078</v>
      </c>
    </row>
    <row r="61" ht="15.75" customHeight="1">
      <c r="A61" s="50">
        <f t="shared" si="2"/>
        <v>44</v>
      </c>
      <c r="B61" s="10">
        <f t="shared" si="3"/>
        <v>112000</v>
      </c>
      <c r="C61" s="10">
        <f t="shared" si="4"/>
        <v>0</v>
      </c>
      <c r="D61" s="10">
        <f>IF(A61&lt;Inputs!$B$15,0,MIN($B$10,B61))</f>
        <v>4000</v>
      </c>
      <c r="E61" s="10">
        <f t="shared" si="5"/>
        <v>108000</v>
      </c>
      <c r="F61" s="10">
        <f t="shared" si="6"/>
        <v>446586.4038</v>
      </c>
      <c r="G61" s="10">
        <f>IF(A61&lt;Inputs!$B$15,0,F61*$C$6/12)</f>
        <v>1767.737848</v>
      </c>
      <c r="H61" s="10">
        <f>IF(A61&lt;Inputs!$B$15,0,MIN($C$10,F61+G61))</f>
        <v>16881.22078</v>
      </c>
      <c r="I61" s="10">
        <f t="shared" si="7"/>
        <v>431472.9209</v>
      </c>
      <c r="J61" s="10">
        <f t="shared" si="8"/>
        <v>20881.22078</v>
      </c>
    </row>
    <row r="62" ht="15.75" customHeight="1">
      <c r="A62" s="50">
        <f t="shared" si="2"/>
        <v>45</v>
      </c>
      <c r="B62" s="10">
        <f t="shared" si="3"/>
        <v>108000</v>
      </c>
      <c r="C62" s="10">
        <f t="shared" si="4"/>
        <v>0</v>
      </c>
      <c r="D62" s="10">
        <f>IF(A62&lt;Inputs!$B$15,0,MIN($B$10,B62))</f>
        <v>4000</v>
      </c>
      <c r="E62" s="10">
        <f t="shared" si="5"/>
        <v>104000</v>
      </c>
      <c r="F62" s="10">
        <f t="shared" si="6"/>
        <v>431472.9209</v>
      </c>
      <c r="G62" s="10">
        <f>IF(A62&lt;Inputs!$B$15,0,F62*$C$6/12)</f>
        <v>1707.913645</v>
      </c>
      <c r="H62" s="10">
        <f>IF(A62&lt;Inputs!$B$15,0,MIN($C$10,F62+G62))</f>
        <v>16881.22078</v>
      </c>
      <c r="I62" s="10">
        <f t="shared" si="7"/>
        <v>416299.6137</v>
      </c>
      <c r="J62" s="10">
        <f t="shared" si="8"/>
        <v>20881.22078</v>
      </c>
    </row>
    <row r="63" ht="15.75" customHeight="1">
      <c r="A63" s="50">
        <f t="shared" si="2"/>
        <v>46</v>
      </c>
      <c r="B63" s="10">
        <f t="shared" si="3"/>
        <v>104000</v>
      </c>
      <c r="C63" s="10">
        <f t="shared" si="4"/>
        <v>0</v>
      </c>
      <c r="D63" s="10">
        <f>IF(A63&lt;Inputs!$B$15,0,MIN($B$10,B63))</f>
        <v>4000</v>
      </c>
      <c r="E63" s="10">
        <f t="shared" si="5"/>
        <v>100000</v>
      </c>
      <c r="F63" s="10">
        <f t="shared" si="6"/>
        <v>416299.6137</v>
      </c>
      <c r="G63" s="10">
        <f>IF(A63&lt;Inputs!$B$15,0,F63*$C$6/12)</f>
        <v>1647.852638</v>
      </c>
      <c r="H63" s="10">
        <f>IF(A63&lt;Inputs!$B$15,0,MIN($C$10,F63+G63))</f>
        <v>16881.22078</v>
      </c>
      <c r="I63" s="10">
        <f t="shared" si="7"/>
        <v>401066.2456</v>
      </c>
      <c r="J63" s="10">
        <f t="shared" si="8"/>
        <v>20881.22078</v>
      </c>
    </row>
    <row r="64" ht="15.75" customHeight="1">
      <c r="A64" s="50">
        <f t="shared" si="2"/>
        <v>47</v>
      </c>
      <c r="B64" s="10">
        <f t="shared" si="3"/>
        <v>100000</v>
      </c>
      <c r="C64" s="10">
        <f t="shared" si="4"/>
        <v>0</v>
      </c>
      <c r="D64" s="10">
        <f>IF(A64&lt;Inputs!$B$15,0,MIN($B$10,B64))</f>
        <v>4000</v>
      </c>
      <c r="E64" s="10">
        <f t="shared" si="5"/>
        <v>96000</v>
      </c>
      <c r="F64" s="10">
        <f t="shared" si="6"/>
        <v>401066.2456</v>
      </c>
      <c r="G64" s="10">
        <f>IF(A64&lt;Inputs!$B$15,0,F64*$C$6/12)</f>
        <v>1587.553889</v>
      </c>
      <c r="H64" s="10">
        <f>IF(A64&lt;Inputs!$B$15,0,MIN($C$10,F64+G64))</f>
        <v>16881.22078</v>
      </c>
      <c r="I64" s="10">
        <f t="shared" si="7"/>
        <v>385772.5787</v>
      </c>
      <c r="J64" s="10">
        <f t="shared" si="8"/>
        <v>20881.22078</v>
      </c>
    </row>
    <row r="65" ht="15.75" customHeight="1">
      <c r="A65" s="50">
        <f t="shared" si="2"/>
        <v>48</v>
      </c>
      <c r="B65" s="10">
        <f t="shared" si="3"/>
        <v>96000</v>
      </c>
      <c r="C65" s="10">
        <f t="shared" si="4"/>
        <v>0</v>
      </c>
      <c r="D65" s="10">
        <f>IF(A65&lt;Inputs!$B$15,0,MIN($B$10,B65))</f>
        <v>4000</v>
      </c>
      <c r="E65" s="10">
        <f t="shared" si="5"/>
        <v>92000</v>
      </c>
      <c r="F65" s="10">
        <f t="shared" si="6"/>
        <v>385772.5787</v>
      </c>
      <c r="G65" s="10">
        <f>IF(A65&lt;Inputs!$B$15,0,F65*$C$6/12)</f>
        <v>1527.016457</v>
      </c>
      <c r="H65" s="10">
        <f>IF(A65&lt;Inputs!$B$15,0,MIN($C$10,F65+G65))</f>
        <v>16881.22078</v>
      </c>
      <c r="I65" s="10">
        <f t="shared" si="7"/>
        <v>370418.3744</v>
      </c>
      <c r="J65" s="10">
        <f t="shared" si="8"/>
        <v>20881.22078</v>
      </c>
    </row>
    <row r="66" ht="15.75" customHeight="1">
      <c r="A66" s="50">
        <f t="shared" si="2"/>
        <v>49</v>
      </c>
      <c r="B66" s="10">
        <f t="shared" si="3"/>
        <v>92000</v>
      </c>
      <c r="C66" s="10">
        <f t="shared" si="4"/>
        <v>0</v>
      </c>
      <c r="D66" s="10">
        <f>IF(A66&lt;Inputs!$B$15,0,MIN($B$10,B66))</f>
        <v>4000</v>
      </c>
      <c r="E66" s="10">
        <f t="shared" si="5"/>
        <v>88000</v>
      </c>
      <c r="F66" s="10">
        <f t="shared" si="6"/>
        <v>370418.3744</v>
      </c>
      <c r="G66" s="10">
        <f>IF(A66&lt;Inputs!$B$15,0,F66*$C$6/12)</f>
        <v>1466.239399</v>
      </c>
      <c r="H66" s="10">
        <f>IF(A66&lt;Inputs!$B$15,0,MIN($C$10,F66+G66))</f>
        <v>16881.22078</v>
      </c>
      <c r="I66" s="10">
        <f t="shared" si="7"/>
        <v>355003.393</v>
      </c>
      <c r="J66" s="10">
        <f t="shared" si="8"/>
        <v>20881.22078</v>
      </c>
    </row>
    <row r="67" ht="15.75" customHeight="1">
      <c r="A67" s="50">
        <f t="shared" si="2"/>
        <v>50</v>
      </c>
      <c r="B67" s="10">
        <f t="shared" si="3"/>
        <v>88000</v>
      </c>
      <c r="C67" s="10">
        <f t="shared" si="4"/>
        <v>0</v>
      </c>
      <c r="D67" s="10">
        <f>IF(A67&lt;Inputs!$B$15,0,MIN($B$10,B67))</f>
        <v>4000</v>
      </c>
      <c r="E67" s="10">
        <f t="shared" si="5"/>
        <v>84000</v>
      </c>
      <c r="F67" s="10">
        <f t="shared" si="6"/>
        <v>355003.393</v>
      </c>
      <c r="G67" s="10">
        <f>IF(A67&lt;Inputs!$B$15,0,F67*$C$6/12)</f>
        <v>1405.221764</v>
      </c>
      <c r="H67" s="10">
        <f>IF(A67&lt;Inputs!$B$15,0,MIN($C$10,F67+G67))</f>
        <v>16881.22078</v>
      </c>
      <c r="I67" s="10">
        <f t="shared" si="7"/>
        <v>339527.394</v>
      </c>
      <c r="J67" s="10">
        <f t="shared" si="8"/>
        <v>20881.22078</v>
      </c>
    </row>
    <row r="68" ht="15.75" customHeight="1">
      <c r="A68" s="50">
        <f t="shared" si="2"/>
        <v>51</v>
      </c>
      <c r="B68" s="10">
        <f t="shared" si="3"/>
        <v>84000</v>
      </c>
      <c r="C68" s="10">
        <f t="shared" si="4"/>
        <v>0</v>
      </c>
      <c r="D68" s="10">
        <f>IF(A68&lt;Inputs!$B$15,0,MIN($B$10,B68))</f>
        <v>4000</v>
      </c>
      <c r="E68" s="10">
        <f t="shared" si="5"/>
        <v>80000</v>
      </c>
      <c r="F68" s="10">
        <f t="shared" si="6"/>
        <v>339527.394</v>
      </c>
      <c r="G68" s="10">
        <f>IF(A68&lt;Inputs!$B$15,0,F68*$C$6/12)</f>
        <v>1343.962601</v>
      </c>
      <c r="H68" s="10">
        <f>IF(A68&lt;Inputs!$B$15,0,MIN($C$10,F68+G68))</f>
        <v>16881.22078</v>
      </c>
      <c r="I68" s="10">
        <f t="shared" si="7"/>
        <v>323990.1358</v>
      </c>
      <c r="J68" s="10">
        <f t="shared" si="8"/>
        <v>20881.22078</v>
      </c>
    </row>
    <row r="69" ht="15.75" customHeight="1">
      <c r="A69" s="50">
        <f t="shared" si="2"/>
        <v>52</v>
      </c>
      <c r="B69" s="10">
        <f t="shared" si="3"/>
        <v>80000</v>
      </c>
      <c r="C69" s="10">
        <f t="shared" si="4"/>
        <v>0</v>
      </c>
      <c r="D69" s="10">
        <f>IF(A69&lt;Inputs!$B$15,0,MIN($B$10,B69))</f>
        <v>4000</v>
      </c>
      <c r="E69" s="10">
        <f t="shared" si="5"/>
        <v>76000</v>
      </c>
      <c r="F69" s="10">
        <f t="shared" si="6"/>
        <v>323990.1358</v>
      </c>
      <c r="G69" s="10">
        <f>IF(A69&lt;Inputs!$B$15,0,F69*$C$6/12)</f>
        <v>1282.460954</v>
      </c>
      <c r="H69" s="10">
        <f>IF(A69&lt;Inputs!$B$15,0,MIN($C$10,F69+G69))</f>
        <v>16881.22078</v>
      </c>
      <c r="I69" s="10">
        <f t="shared" si="7"/>
        <v>308391.376</v>
      </c>
      <c r="J69" s="10">
        <f t="shared" si="8"/>
        <v>20881.22078</v>
      </c>
    </row>
    <row r="70" ht="15.75" customHeight="1">
      <c r="A70" s="50">
        <f t="shared" si="2"/>
        <v>53</v>
      </c>
      <c r="B70" s="10">
        <f t="shared" si="3"/>
        <v>76000</v>
      </c>
      <c r="C70" s="10">
        <f t="shared" si="4"/>
        <v>0</v>
      </c>
      <c r="D70" s="10">
        <f>IF(A70&lt;Inputs!$B$15,0,MIN($B$10,B70))</f>
        <v>4000</v>
      </c>
      <c r="E70" s="10">
        <f t="shared" si="5"/>
        <v>72000</v>
      </c>
      <c r="F70" s="10">
        <f t="shared" si="6"/>
        <v>308391.376</v>
      </c>
      <c r="G70" s="10">
        <f>IF(A70&lt;Inputs!$B$15,0,F70*$C$6/12)</f>
        <v>1220.715863</v>
      </c>
      <c r="H70" s="10">
        <f>IF(A70&lt;Inputs!$B$15,0,MIN($C$10,F70+G70))</f>
        <v>16881.22078</v>
      </c>
      <c r="I70" s="10">
        <f t="shared" si="7"/>
        <v>292730.871</v>
      </c>
      <c r="J70" s="10">
        <f t="shared" si="8"/>
        <v>20881.22078</v>
      </c>
    </row>
    <row r="71" ht="15.75" customHeight="1">
      <c r="A71" s="50">
        <f t="shared" si="2"/>
        <v>54</v>
      </c>
      <c r="B71" s="10">
        <f t="shared" si="3"/>
        <v>72000</v>
      </c>
      <c r="C71" s="10">
        <f t="shared" si="4"/>
        <v>0</v>
      </c>
      <c r="D71" s="10">
        <f>IF(A71&lt;Inputs!$B$15,0,MIN($B$10,B71))</f>
        <v>4000</v>
      </c>
      <c r="E71" s="10">
        <f t="shared" si="5"/>
        <v>68000</v>
      </c>
      <c r="F71" s="10">
        <f t="shared" si="6"/>
        <v>292730.871</v>
      </c>
      <c r="G71" s="10">
        <f>IF(A71&lt;Inputs!$B$15,0,F71*$C$6/12)</f>
        <v>1158.726365</v>
      </c>
      <c r="H71" s="10">
        <f>IF(A71&lt;Inputs!$B$15,0,MIN($C$10,F71+G71))</f>
        <v>16881.22078</v>
      </c>
      <c r="I71" s="10">
        <f t="shared" si="7"/>
        <v>277008.3766</v>
      </c>
      <c r="J71" s="10">
        <f t="shared" si="8"/>
        <v>20881.22078</v>
      </c>
    </row>
    <row r="72" ht="15.75" customHeight="1">
      <c r="A72" s="50">
        <f t="shared" si="2"/>
        <v>55</v>
      </c>
      <c r="B72" s="10">
        <f t="shared" si="3"/>
        <v>68000</v>
      </c>
      <c r="C72" s="10">
        <f t="shared" si="4"/>
        <v>0</v>
      </c>
      <c r="D72" s="10">
        <f>IF(A72&lt;Inputs!$B$15,0,MIN($B$10,B72))</f>
        <v>4000</v>
      </c>
      <c r="E72" s="10">
        <f t="shared" si="5"/>
        <v>64000</v>
      </c>
      <c r="F72" s="10">
        <f t="shared" si="6"/>
        <v>277008.3766</v>
      </c>
      <c r="G72" s="10">
        <f>IF(A72&lt;Inputs!$B$15,0,F72*$C$6/12)</f>
        <v>1096.491491</v>
      </c>
      <c r="H72" s="10">
        <f>IF(A72&lt;Inputs!$B$15,0,MIN($C$10,F72+G72))</f>
        <v>16881.22078</v>
      </c>
      <c r="I72" s="10">
        <f t="shared" si="7"/>
        <v>261223.6473</v>
      </c>
      <c r="J72" s="10">
        <f t="shared" si="8"/>
        <v>20881.22078</v>
      </c>
    </row>
    <row r="73" ht="15.75" customHeight="1">
      <c r="A73" s="50">
        <f t="shared" si="2"/>
        <v>56</v>
      </c>
      <c r="B73" s="10">
        <f t="shared" si="3"/>
        <v>64000</v>
      </c>
      <c r="C73" s="10">
        <f t="shared" si="4"/>
        <v>0</v>
      </c>
      <c r="D73" s="10">
        <f>IF(A73&lt;Inputs!$B$15,0,MIN($B$10,B73))</f>
        <v>4000</v>
      </c>
      <c r="E73" s="10">
        <f t="shared" si="5"/>
        <v>60000</v>
      </c>
      <c r="F73" s="10">
        <f t="shared" si="6"/>
        <v>261223.6473</v>
      </c>
      <c r="G73" s="10">
        <f>IF(A73&lt;Inputs!$B$15,0,F73*$C$6/12)</f>
        <v>1034.010271</v>
      </c>
      <c r="H73" s="10">
        <f>IF(A73&lt;Inputs!$B$15,0,MIN($C$10,F73+G73))</f>
        <v>16881.22078</v>
      </c>
      <c r="I73" s="10">
        <f t="shared" si="7"/>
        <v>245376.4368</v>
      </c>
      <c r="J73" s="10">
        <f t="shared" si="8"/>
        <v>20881.22078</v>
      </c>
    </row>
    <row r="74" ht="15.75" customHeight="1">
      <c r="A74" s="50">
        <f t="shared" si="2"/>
        <v>57</v>
      </c>
      <c r="B74" s="10">
        <f t="shared" si="3"/>
        <v>60000</v>
      </c>
      <c r="C74" s="10">
        <f t="shared" si="4"/>
        <v>0</v>
      </c>
      <c r="D74" s="10">
        <f>IF(A74&lt;Inputs!$B$15,0,MIN($B$10,B74))</f>
        <v>4000</v>
      </c>
      <c r="E74" s="10">
        <f t="shared" si="5"/>
        <v>56000</v>
      </c>
      <c r="F74" s="10">
        <f t="shared" si="6"/>
        <v>245376.4368</v>
      </c>
      <c r="G74" s="10">
        <f>IF(A74&lt;Inputs!$B$15,0,F74*$C$6/12)</f>
        <v>971.2817291</v>
      </c>
      <c r="H74" s="10">
        <f>IF(A74&lt;Inputs!$B$15,0,MIN($C$10,F74+G74))</f>
        <v>16881.22078</v>
      </c>
      <c r="I74" s="10">
        <f t="shared" si="7"/>
        <v>229466.4978</v>
      </c>
      <c r="J74" s="10">
        <f t="shared" si="8"/>
        <v>20881.22078</v>
      </c>
    </row>
    <row r="75" ht="15.75" customHeight="1">
      <c r="A75" s="50">
        <f t="shared" si="2"/>
        <v>58</v>
      </c>
      <c r="B75" s="10">
        <f t="shared" si="3"/>
        <v>56000</v>
      </c>
      <c r="C75" s="10">
        <f t="shared" si="4"/>
        <v>0</v>
      </c>
      <c r="D75" s="10">
        <f>IF(A75&lt;Inputs!$B$15,0,MIN($B$10,B75))</f>
        <v>4000</v>
      </c>
      <c r="E75" s="10">
        <f t="shared" si="5"/>
        <v>52000</v>
      </c>
      <c r="F75" s="10">
        <f t="shared" si="6"/>
        <v>229466.4978</v>
      </c>
      <c r="G75" s="10">
        <f>IF(A75&lt;Inputs!$B$15,0,F75*$C$6/12)</f>
        <v>908.304887</v>
      </c>
      <c r="H75" s="10">
        <f>IF(A75&lt;Inputs!$B$15,0,MIN($C$10,F75+G75))</f>
        <v>16881.22078</v>
      </c>
      <c r="I75" s="10">
        <f t="shared" si="7"/>
        <v>213493.5819</v>
      </c>
      <c r="J75" s="10">
        <f t="shared" si="8"/>
        <v>20881.22078</v>
      </c>
    </row>
    <row r="76" ht="15.75" customHeight="1">
      <c r="A76" s="50">
        <f t="shared" si="2"/>
        <v>59</v>
      </c>
      <c r="B76" s="10">
        <f t="shared" si="3"/>
        <v>52000</v>
      </c>
      <c r="C76" s="10">
        <f t="shared" si="4"/>
        <v>0</v>
      </c>
      <c r="D76" s="10">
        <f>IF(A76&lt;Inputs!$B$15,0,MIN($B$10,B76))</f>
        <v>4000</v>
      </c>
      <c r="E76" s="10">
        <f t="shared" si="5"/>
        <v>48000</v>
      </c>
      <c r="F76" s="10">
        <f t="shared" si="6"/>
        <v>213493.5819</v>
      </c>
      <c r="G76" s="10">
        <f>IF(A76&lt;Inputs!$B$15,0,F76*$C$6/12)</f>
        <v>845.0787616</v>
      </c>
      <c r="H76" s="10">
        <f>IF(A76&lt;Inputs!$B$15,0,MIN($C$10,F76+G76))</f>
        <v>16881.22078</v>
      </c>
      <c r="I76" s="10">
        <f t="shared" si="7"/>
        <v>197457.4399</v>
      </c>
      <c r="J76" s="10">
        <f t="shared" si="8"/>
        <v>20881.22078</v>
      </c>
    </row>
    <row r="77" ht="15.75" customHeight="1">
      <c r="A77" s="50">
        <f t="shared" si="2"/>
        <v>60</v>
      </c>
      <c r="B77" s="10">
        <f t="shared" si="3"/>
        <v>48000</v>
      </c>
      <c r="C77" s="10">
        <f t="shared" si="4"/>
        <v>0</v>
      </c>
      <c r="D77" s="10">
        <f>IF(A77&lt;Inputs!$B$15,0,MIN($B$10,B77))</f>
        <v>4000</v>
      </c>
      <c r="E77" s="10">
        <f t="shared" si="5"/>
        <v>44000</v>
      </c>
      <c r="F77" s="10">
        <f t="shared" si="6"/>
        <v>197457.4399</v>
      </c>
      <c r="G77" s="10">
        <f>IF(A77&lt;Inputs!$B$15,0,F77*$C$6/12)</f>
        <v>781.6023661</v>
      </c>
      <c r="H77" s="10">
        <f>IF(A77&lt;Inputs!$B$15,0,MIN($C$10,F77+G77))</f>
        <v>16881.22078</v>
      </c>
      <c r="I77" s="10">
        <f t="shared" si="7"/>
        <v>181357.8215</v>
      </c>
      <c r="J77" s="10">
        <f t="shared" si="8"/>
        <v>20881.22078</v>
      </c>
    </row>
    <row r="78" ht="15.75" customHeight="1">
      <c r="A78" s="50">
        <f t="shared" si="2"/>
        <v>61</v>
      </c>
      <c r="B78" s="10">
        <f t="shared" si="3"/>
        <v>44000</v>
      </c>
      <c r="C78" s="10">
        <f t="shared" si="4"/>
        <v>0</v>
      </c>
      <c r="D78" s="10">
        <f>IF(A78&lt;Inputs!$B$15,0,MIN($B$10,B78))</f>
        <v>4000</v>
      </c>
      <c r="E78" s="10">
        <f t="shared" si="5"/>
        <v>40000</v>
      </c>
      <c r="F78" s="10">
        <f t="shared" si="6"/>
        <v>181357.8215</v>
      </c>
      <c r="G78" s="10">
        <f>IF(A78&lt;Inputs!$B$15,0,F78*$C$6/12)</f>
        <v>717.8747099</v>
      </c>
      <c r="H78" s="10">
        <f>IF(A78&lt;Inputs!$B$15,0,MIN($C$10,F78+G78))</f>
        <v>16881.22078</v>
      </c>
      <c r="I78" s="10">
        <f t="shared" si="7"/>
        <v>165194.4754</v>
      </c>
      <c r="J78" s="10">
        <f t="shared" si="8"/>
        <v>20881.22078</v>
      </c>
    </row>
    <row r="79" ht="15.75" customHeight="1">
      <c r="A79" s="50">
        <f t="shared" si="2"/>
        <v>62</v>
      </c>
      <c r="B79" s="10">
        <f t="shared" si="3"/>
        <v>40000</v>
      </c>
      <c r="C79" s="10">
        <f t="shared" si="4"/>
        <v>0</v>
      </c>
      <c r="D79" s="10">
        <f>IF(A79&lt;Inputs!$B$15,0,MIN($B$10,B79))</f>
        <v>4000</v>
      </c>
      <c r="E79" s="10">
        <f t="shared" si="5"/>
        <v>36000</v>
      </c>
      <c r="F79" s="10">
        <f t="shared" si="6"/>
        <v>165194.4754</v>
      </c>
      <c r="G79" s="10">
        <f>IF(A79&lt;Inputs!$B$15,0,F79*$C$6/12)</f>
        <v>653.8947984</v>
      </c>
      <c r="H79" s="10">
        <f>IF(A79&lt;Inputs!$B$15,0,MIN($C$10,F79+G79))</f>
        <v>16881.22078</v>
      </c>
      <c r="I79" s="10">
        <f t="shared" si="7"/>
        <v>148967.1494</v>
      </c>
      <c r="J79" s="10">
        <f t="shared" si="8"/>
        <v>20881.22078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F4:J4"/>
    <mergeCell ref="A15:J1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0"/>
    <col customWidth="1" min="4" max="7" width="14.0"/>
    <col customWidth="1" min="8" max="8" width="16.0"/>
    <col customWidth="1" min="9" max="29" width="17.0"/>
    <col customWidth="1" min="30" max="30" width="16.0"/>
  </cols>
  <sheetData>
    <row r="1" ht="27.75" customHeight="1">
      <c r="A1" s="4" t="s">
        <v>314</v>
      </c>
    </row>
    <row r="2">
      <c r="A2" s="3" t="s">
        <v>315</v>
      </c>
    </row>
    <row r="4">
      <c r="A4" s="5" t="s">
        <v>304</v>
      </c>
      <c r="B4" s="5" t="s">
        <v>316</v>
      </c>
      <c r="C4" s="5" t="s">
        <v>317</v>
      </c>
      <c r="D4" s="5" t="s">
        <v>318</v>
      </c>
      <c r="E4" s="5" t="s">
        <v>319</v>
      </c>
      <c r="F4" s="5" t="s">
        <v>320</v>
      </c>
      <c r="G4" s="5" t="s">
        <v>321</v>
      </c>
      <c r="H4" s="5" t="s">
        <v>322</v>
      </c>
      <c r="I4" s="5" t="s">
        <v>323</v>
      </c>
      <c r="J4" s="5" t="s">
        <v>324</v>
      </c>
      <c r="K4" s="5" t="s">
        <v>325</v>
      </c>
      <c r="L4" s="5" t="s">
        <v>326</v>
      </c>
      <c r="M4" s="5" t="s">
        <v>327</v>
      </c>
      <c r="N4" s="5" t="s">
        <v>328</v>
      </c>
      <c r="O4" s="5" t="s">
        <v>329</v>
      </c>
      <c r="P4" s="5" t="s">
        <v>330</v>
      </c>
      <c r="Q4" s="5" t="s">
        <v>332</v>
      </c>
      <c r="R4" s="5" t="s">
        <v>333</v>
      </c>
      <c r="S4" s="5" t="s">
        <v>334</v>
      </c>
      <c r="T4" s="5" t="s">
        <v>335</v>
      </c>
      <c r="U4" s="5" t="s">
        <v>336</v>
      </c>
      <c r="V4" s="5" t="s">
        <v>337</v>
      </c>
      <c r="W4" s="5" t="s">
        <v>338</v>
      </c>
      <c r="X4" s="5" t="s">
        <v>340</v>
      </c>
      <c r="Y4" s="5" t="s">
        <v>341</v>
      </c>
      <c r="Z4" s="5" t="s">
        <v>342</v>
      </c>
      <c r="AA4" s="5" t="s">
        <v>343</v>
      </c>
      <c r="AB4" s="5" t="s">
        <v>344</v>
      </c>
      <c r="AC4" s="5" t="s">
        <v>346</v>
      </c>
      <c r="AD4" s="5" t="s">
        <v>347</v>
      </c>
    </row>
    <row r="5">
      <c r="A5" s="50">
        <v>0.0</v>
      </c>
      <c r="B5" s="50" t="str">
        <f>IF(A5&lt;Inputs!$B$27,"BUILD","OPEN")</f>
        <v>BUILD</v>
      </c>
      <c r="C5" s="50">
        <f>IF(B5="OPEN",A5-Inputs!$B$27+1,0)</f>
        <v>0</v>
      </c>
      <c r="D5" s="50">
        <f>IF(C5=0,0,MIN(Inputs!$B$25,IF(C5=1,ROUND(Inputs!$B$24*Inputs!$B$28,0),IF(C5&lt;=12,ROUND(ROUND(Inputs!$B$24*Inputs!$B$28,0)+(Inputs!$B$70-ROUND(Inputs!$B$24*Inputs!$B$28,0))*(C5-1)/11,0),IF(C5&lt;=24,ROUND(Inputs!$B$70+(Inputs!$B$71-Inputs!$B$70)*(C5-12)/12,0),IF(C5&lt;=36,ROUND(Inputs!$B$71+(Inputs!$B$72-Inputs!$B$71)*(C5-24)/12,0),IF(C5&lt;=48,ROUND(Inputs!$B$72+(Inputs!$B$73-Inputs!$B$72)*(C5-36)/12,0),ROUND(Inputs!$B$73+(Inputs!$B$74-Inputs!$B$73)*MIN(C5-48,12)/12,0))))))))</f>
        <v>0</v>
      </c>
      <c r="E5" s="50">
        <f>IF(C5=0,0,IF(Inputs!$B$50=1,MIN(D5,MAX(0,Inputs!$B$57-Inputs!$B$54)),MIN(D5,Inputs!$B$57)))</f>
        <v>0</v>
      </c>
      <c r="F5" s="50">
        <f>IF(AND(C5&gt;=Inputs!$B$56,Inputs!$B$50=1),Inputs!$B$54,0)</f>
        <v>0</v>
      </c>
      <c r="G5" s="50">
        <f t="shared" ref="G5:G67" si="1">E5+F5</f>
        <v>0</v>
      </c>
      <c r="H5" s="10">
        <f>Inputs!$B$44*(1+Inputs!$B$20)^MAX(0,ROUNDUP(C5/12,0)-1)</f>
        <v>223</v>
      </c>
      <c r="I5" s="10">
        <f>IF(C5=0,0,E5*H5+F5*Inputs!$B$55)</f>
        <v>0</v>
      </c>
      <c r="J5" s="10">
        <f>IF(C5=0,0,Inputs!$B$47)</f>
        <v>0</v>
      </c>
      <c r="K5" s="10">
        <f t="shared" ref="K5:K67" si="2">I5+J5</f>
        <v>0</v>
      </c>
      <c r="L5" s="10">
        <f>K5/(1+Inputs!$B$6)</f>
        <v>0</v>
      </c>
      <c r="M5" s="10">
        <f>(K5*Inputs!$B$49)/(1+Inputs!$B$6)</f>
        <v>0</v>
      </c>
      <c r="N5" s="10">
        <f>IF(C5=0,Inputs!$B$34,'Operating Costs'!$C$23*(1+Inputs!$B$19)^MAX(0,ROUNDUP(C5/12,0)-1))</f>
        <v>20018</v>
      </c>
      <c r="O5" s="10">
        <f t="shared" ref="O5:O67" si="3">L5-M5-N5</f>
        <v>-20018</v>
      </c>
      <c r="P5" s="10">
        <f>Financing!J17</f>
        <v>0</v>
      </c>
      <c r="Q5" s="10">
        <f>Financing!G17</f>
        <v>0</v>
      </c>
      <c r="R5" s="10">
        <f>IF(C5=0,0,Inputs!$B$18)</f>
        <v>0</v>
      </c>
      <c r="S5" s="10">
        <f t="shared" ref="S5:S67" si="4">O5-R5-Q5</f>
        <v>-20018</v>
      </c>
      <c r="T5" s="10">
        <v>0.0</v>
      </c>
      <c r="U5" s="10">
        <f t="shared" ref="U5:U67" si="5">MAX(0,S5-T5)</f>
        <v>0</v>
      </c>
      <c r="V5" s="10">
        <f>U5*Inputs!$B$17</f>
        <v>0</v>
      </c>
      <c r="W5" s="10">
        <f t="shared" ref="W5:W67" si="6">MAX(0,T5-MAX(0,S5))+MAX(0,-S5)</f>
        <v>20018</v>
      </c>
      <c r="X5" s="10">
        <f t="shared" ref="X5:X67" si="7">O5-P5-V5</f>
        <v>-20018</v>
      </c>
      <c r="Y5" s="10">
        <f>IF(A5=Inputs!$B$63,'Startup &amp; Funding'!$B$16,0)</f>
        <v>0</v>
      </c>
      <c r="Z5" s="10">
        <f>'Startup &amp; Funding'!$B$19+X5+Y5</f>
        <v>48972.0014</v>
      </c>
      <c r="AA5" s="10">
        <f>Financing!E17+Financing!I17</f>
        <v>1140000</v>
      </c>
      <c r="AB5" s="50">
        <f>('Operating Costs'!$C$23-(Inputs!$B$47*(1-Inputs!$B$49)/(1+Inputs!$B$6)))/(Inputs!$B$44*(1-Inputs!$B$49)/(1+Inputs!$B$6))</f>
        <v>312.4663677</v>
      </c>
      <c r="AC5" s="50">
        <f>('Operating Costs'!$C$23+Financing!$D$10-(Inputs!$B$47*(1-Inputs!$B$49)/(1+Inputs!$B$6)))/(Inputs!$B$44*(1-Inputs!$B$49)/(1+Inputs!$B$6))</f>
        <v>424.0750126</v>
      </c>
      <c r="AD5" s="8" t="s">
        <v>383</v>
      </c>
    </row>
    <row r="6">
      <c r="A6" s="50">
        <f t="shared" ref="A6:A67" si="9">A5+1</f>
        <v>1</v>
      </c>
      <c r="B6" s="50" t="str">
        <f>IF(A6&lt;Inputs!$B$27,"BUILD","OPEN")</f>
        <v>BUILD</v>
      </c>
      <c r="C6" s="50">
        <f>IF(B6="OPEN",A6-Inputs!$B$27+1,0)</f>
        <v>0</v>
      </c>
      <c r="D6" s="50">
        <f>IF(C6=0,0,MIN(Inputs!$B$25,IF(C6=1,ROUND(Inputs!$B$24*Inputs!$B$28,0),IF(C6&lt;=12,ROUND(ROUND(Inputs!$B$24*Inputs!$B$28,0)+(Inputs!$B$70-ROUND(Inputs!$B$24*Inputs!$B$28,0))*(C6-1)/11,0),IF(C6&lt;=24,ROUND(Inputs!$B$70+(Inputs!$B$71-Inputs!$B$70)*(C6-12)/12,0),IF(C6&lt;=36,ROUND(Inputs!$B$71+(Inputs!$B$72-Inputs!$B$71)*(C6-24)/12,0),IF(C6&lt;=48,ROUND(Inputs!$B$72+(Inputs!$B$73-Inputs!$B$72)*(C6-36)/12,0),ROUND(Inputs!$B$73+(Inputs!$B$74-Inputs!$B$73)*MIN(C6-48,12)/12,0))))))))</f>
        <v>0</v>
      </c>
      <c r="E6" s="50">
        <f>IF(C6=0,0,IF(Inputs!$B$50=1,MIN(D6,MAX(0,Inputs!$B$57-Inputs!$B$54)),MIN(D6,Inputs!$B$57)))</f>
        <v>0</v>
      </c>
      <c r="F6" s="50">
        <f>IF(AND(C6&gt;=Inputs!$B$56,Inputs!$B$50=1),Inputs!$B$54,0)</f>
        <v>0</v>
      </c>
      <c r="G6" s="50">
        <f t="shared" si="1"/>
        <v>0</v>
      </c>
      <c r="H6" s="10">
        <f>Inputs!$B$44*(1+Inputs!$B$20)^MAX(0,ROUNDUP(C6/12,0)-1)</f>
        <v>223</v>
      </c>
      <c r="I6" s="10">
        <f>IF(C6=0,0,E6*H6+F6*Inputs!$B$55)</f>
        <v>0</v>
      </c>
      <c r="J6" s="10">
        <f>IF(C6=0,0,Inputs!$B$47)</f>
        <v>0</v>
      </c>
      <c r="K6" s="10">
        <f t="shared" si="2"/>
        <v>0</v>
      </c>
      <c r="L6" s="10">
        <f>K6/(1+Inputs!$B$6)</f>
        <v>0</v>
      </c>
      <c r="M6" s="10">
        <f>(K6*Inputs!$B$49)/(1+Inputs!$B$6)</f>
        <v>0</v>
      </c>
      <c r="N6" s="10">
        <f>IF(C6=0,Inputs!$B$34,'Operating Costs'!$C$23*(1+Inputs!$B$19)^MAX(0,ROUNDUP(C6/12,0)-1))</f>
        <v>20018</v>
      </c>
      <c r="O6" s="10">
        <f t="shared" si="3"/>
        <v>-20018</v>
      </c>
      <c r="P6" s="10">
        <f t="array" ref="P6">INDEX(Financing!$J$17:$J$79,A6+1)</f>
        <v>0</v>
      </c>
      <c r="Q6" s="10">
        <f t="array" ref="Q6">INDEX(Financing!$G$17:$G$79,A6+1)</f>
        <v>0</v>
      </c>
      <c r="R6" s="10">
        <f>IF(C6=0,0,Inputs!$B$18)</f>
        <v>0</v>
      </c>
      <c r="S6" s="10">
        <f t="shared" si="4"/>
        <v>-20018</v>
      </c>
      <c r="T6" s="10">
        <f t="shared" ref="T6:T67" si="10">W5</f>
        <v>20018</v>
      </c>
      <c r="U6" s="10">
        <f t="shared" si="5"/>
        <v>0</v>
      </c>
      <c r="V6" s="10">
        <f>U6*Inputs!$B$17</f>
        <v>0</v>
      </c>
      <c r="W6" s="10">
        <f t="shared" si="6"/>
        <v>40036</v>
      </c>
      <c r="X6" s="10">
        <f t="shared" si="7"/>
        <v>-20018</v>
      </c>
      <c r="Y6" s="10">
        <f>IF(A6=Inputs!$B$63,'Startup &amp; Funding'!$B$16,0)</f>
        <v>0</v>
      </c>
      <c r="Z6" s="10">
        <f t="shared" ref="Z6:Z67" si="11">Z5+X6+Y6</f>
        <v>28954.0014</v>
      </c>
      <c r="AA6" s="10">
        <f t="array" ref="AA6">INDEX(Financing!$E$17:$E$79,A6+1)+INDEX(Financing!$I$17:$I$79,A6+1)</f>
        <v>1140000</v>
      </c>
      <c r="AB6" s="50">
        <f t="shared" ref="AB6:AC6" si="8">AB5</f>
        <v>312.4663677</v>
      </c>
      <c r="AC6" s="50">
        <f t="shared" si="8"/>
        <v>424.0750126</v>
      </c>
      <c r="AD6" s="8" t="str">
        <f>IF(C6=1,"REOPEN",IF(A6=Inputs!$B$15,"DEBT START",IF(AND(C6&gt;0,MOD(C6,12)=0),"YEAR END","")))</f>
        <v/>
      </c>
    </row>
    <row r="7">
      <c r="A7" s="50">
        <f t="shared" si="9"/>
        <v>2</v>
      </c>
      <c r="B7" s="50" t="str">
        <f>IF(A7&lt;Inputs!$B$27,"BUILD","OPEN")</f>
        <v>BUILD</v>
      </c>
      <c r="C7" s="50">
        <f>IF(B7="OPEN",A7-Inputs!$B$27+1,0)</f>
        <v>0</v>
      </c>
      <c r="D7" s="50">
        <f>IF(C7=0,0,MIN(Inputs!$B$25,IF(C7=1,ROUND(Inputs!$B$24*Inputs!$B$28,0),IF(C7&lt;=12,ROUND(ROUND(Inputs!$B$24*Inputs!$B$28,0)+(Inputs!$B$70-ROUND(Inputs!$B$24*Inputs!$B$28,0))*(C7-1)/11,0),IF(C7&lt;=24,ROUND(Inputs!$B$70+(Inputs!$B$71-Inputs!$B$70)*(C7-12)/12,0),IF(C7&lt;=36,ROUND(Inputs!$B$71+(Inputs!$B$72-Inputs!$B$71)*(C7-24)/12,0),IF(C7&lt;=48,ROUND(Inputs!$B$72+(Inputs!$B$73-Inputs!$B$72)*(C7-36)/12,0),ROUND(Inputs!$B$73+(Inputs!$B$74-Inputs!$B$73)*MIN(C7-48,12)/12,0))))))))</f>
        <v>0</v>
      </c>
      <c r="E7" s="50">
        <f>IF(C7=0,0,IF(Inputs!$B$50=1,MIN(D7,MAX(0,Inputs!$B$57-Inputs!$B$54)),MIN(D7,Inputs!$B$57)))</f>
        <v>0</v>
      </c>
      <c r="F7" s="50">
        <f>IF(AND(C7&gt;=Inputs!$B$56,Inputs!$B$50=1),Inputs!$B$54,0)</f>
        <v>0</v>
      </c>
      <c r="G7" s="50">
        <f t="shared" si="1"/>
        <v>0</v>
      </c>
      <c r="H7" s="10">
        <f>Inputs!$B$44*(1+Inputs!$B$20)^MAX(0,ROUNDUP(C7/12,0)-1)</f>
        <v>223</v>
      </c>
      <c r="I7" s="10">
        <f>IF(C7=0,0,E7*H7+F7*Inputs!$B$55)</f>
        <v>0</v>
      </c>
      <c r="J7" s="10">
        <f>IF(C7=0,0,Inputs!$B$47)</f>
        <v>0</v>
      </c>
      <c r="K7" s="10">
        <f t="shared" si="2"/>
        <v>0</v>
      </c>
      <c r="L7" s="10">
        <f>K7/(1+Inputs!$B$6)</f>
        <v>0</v>
      </c>
      <c r="M7" s="10">
        <f>(K7*Inputs!$B$49)/(1+Inputs!$B$6)</f>
        <v>0</v>
      </c>
      <c r="N7" s="10">
        <f>IF(C7=0,Inputs!$B$34,'Operating Costs'!$C$23*(1+Inputs!$B$19)^MAX(0,ROUNDUP(C7/12,0)-1))</f>
        <v>20018</v>
      </c>
      <c r="O7" s="10">
        <f t="shared" si="3"/>
        <v>-20018</v>
      </c>
      <c r="P7" s="10">
        <f t="array" ref="P7">INDEX(Financing!$J$17:$J$79,A7+1)</f>
        <v>0</v>
      </c>
      <c r="Q7" s="10">
        <f t="array" ref="Q7">INDEX(Financing!$G$17:$G$79,A7+1)</f>
        <v>0</v>
      </c>
      <c r="R7" s="10">
        <f>IF(C7=0,0,Inputs!$B$18)</f>
        <v>0</v>
      </c>
      <c r="S7" s="10">
        <f t="shared" si="4"/>
        <v>-20018</v>
      </c>
      <c r="T7" s="10">
        <f t="shared" si="10"/>
        <v>40036</v>
      </c>
      <c r="U7" s="10">
        <f t="shared" si="5"/>
        <v>0</v>
      </c>
      <c r="V7" s="10">
        <f>U7*Inputs!$B$17</f>
        <v>0</v>
      </c>
      <c r="W7" s="10">
        <f t="shared" si="6"/>
        <v>60054</v>
      </c>
      <c r="X7" s="10">
        <f t="shared" si="7"/>
        <v>-20018</v>
      </c>
      <c r="Y7" s="10">
        <f>IF(A7=Inputs!$B$63,'Startup &amp; Funding'!$B$16,0)</f>
        <v>151933.7286</v>
      </c>
      <c r="Z7" s="10">
        <f t="shared" si="11"/>
        <v>160869.73</v>
      </c>
      <c r="AA7" s="10">
        <f t="array" ref="AA7">INDEX(Financing!$E$17:$E$79,A7+1)+INDEX(Financing!$I$17:$I$79,A7+1)</f>
        <v>1140000</v>
      </c>
      <c r="AB7" s="50">
        <f t="shared" ref="AB7:AC7" si="12">AB6</f>
        <v>312.4663677</v>
      </c>
      <c r="AC7" s="50">
        <f t="shared" si="12"/>
        <v>424.0750126</v>
      </c>
      <c r="AD7" s="8" t="str">
        <f>IF(C7=1,"REOPEN",IF(A7=Inputs!$B$15,"DEBT START",IF(AND(C7&gt;0,MOD(C7,12)=0),"YEAR END","")))</f>
        <v/>
      </c>
    </row>
    <row r="8">
      <c r="A8" s="50">
        <f t="shared" si="9"/>
        <v>3</v>
      </c>
      <c r="B8" s="50" t="str">
        <f>IF(A8&lt;Inputs!$B$27,"BUILD","OPEN")</f>
        <v>OPEN</v>
      </c>
      <c r="C8" s="50">
        <f>IF(B8="OPEN",A8-Inputs!$B$27+1,0)</f>
        <v>1</v>
      </c>
      <c r="D8" s="50">
        <f>IF(C8=0,0,MIN(Inputs!$B$25,IF(C8=1,ROUND(Inputs!$B$24*Inputs!$B$28,0),IF(C8&lt;=12,ROUND(ROUND(Inputs!$B$24*Inputs!$B$28,0)+(Inputs!$B$70-ROUND(Inputs!$B$24*Inputs!$B$28,0))*(C8-1)/11,0),IF(C8&lt;=24,ROUND(Inputs!$B$70+(Inputs!$B$71-Inputs!$B$70)*(C8-12)/12,0),IF(C8&lt;=36,ROUND(Inputs!$B$71+(Inputs!$B$72-Inputs!$B$71)*(C8-24)/12,0),IF(C8&lt;=48,ROUND(Inputs!$B$72+(Inputs!$B$73-Inputs!$B$72)*(C8-36)/12,0),ROUND(Inputs!$B$73+(Inputs!$B$74-Inputs!$B$73)*MIN(C8-48,12)/12,0))))))))</f>
        <v>238</v>
      </c>
      <c r="E8" s="50">
        <f>IF(C8=0,0,IF(Inputs!$B$50=1,MIN(D8,MAX(0,Inputs!$B$57-Inputs!$B$54)),MIN(D8,Inputs!$B$57)))</f>
        <v>238</v>
      </c>
      <c r="F8" s="50">
        <f>IF(AND(C8&gt;=Inputs!$B$56,Inputs!$B$50=1),Inputs!$B$54,0)</f>
        <v>0</v>
      </c>
      <c r="G8" s="50">
        <f t="shared" si="1"/>
        <v>238</v>
      </c>
      <c r="H8" s="10">
        <f>Inputs!$B$44*(1+Inputs!$B$20)^MAX(0,ROUNDUP(C8/12,0)-1)</f>
        <v>223</v>
      </c>
      <c r="I8" s="10">
        <f>IF(C8=0,0,E8*H8+F8*Inputs!$B$55)</f>
        <v>53074</v>
      </c>
      <c r="J8" s="10">
        <f>IF(C8=0,0,Inputs!$B$47)</f>
        <v>6500</v>
      </c>
      <c r="K8" s="10">
        <f t="shared" si="2"/>
        <v>59574</v>
      </c>
      <c r="L8" s="10">
        <f>K8/(1+Inputs!$B$6)</f>
        <v>50486.44068</v>
      </c>
      <c r="M8" s="10">
        <f>(K8*Inputs!$B$49)/(1+Inputs!$B$6)</f>
        <v>504.8644068</v>
      </c>
      <c r="N8" s="10">
        <f>IF(C8=0,Inputs!$B$34,'Operating Costs'!$C$23*(1+Inputs!$B$19)^MAX(0,ROUNDUP(C8/12,0)-1))</f>
        <v>63913.72881</v>
      </c>
      <c r="O8" s="10">
        <f t="shared" si="3"/>
        <v>-13932.15254</v>
      </c>
      <c r="P8" s="10">
        <f t="array" ref="P8">INDEX(Financing!$J$17:$J$79,A8+1)</f>
        <v>0</v>
      </c>
      <c r="Q8" s="10">
        <f t="array" ref="Q8">INDEX(Financing!$G$17:$G$79,A8+1)</f>
        <v>0</v>
      </c>
      <c r="R8" s="10">
        <f>IF(C8=0,0,Inputs!$B$18)</f>
        <v>6813</v>
      </c>
      <c r="S8" s="10">
        <f t="shared" si="4"/>
        <v>-20745.15254</v>
      </c>
      <c r="T8" s="10">
        <f t="shared" si="10"/>
        <v>60054</v>
      </c>
      <c r="U8" s="10">
        <f t="shared" si="5"/>
        <v>0</v>
      </c>
      <c r="V8" s="10">
        <f>U8*Inputs!$B$17</f>
        <v>0</v>
      </c>
      <c r="W8" s="10">
        <f t="shared" si="6"/>
        <v>80799.15254</v>
      </c>
      <c r="X8" s="10">
        <f t="shared" si="7"/>
        <v>-13932.15254</v>
      </c>
      <c r="Y8" s="10">
        <f>IF(A8=Inputs!$B$63,'Startup &amp; Funding'!$B$16,0)</f>
        <v>0</v>
      </c>
      <c r="Z8" s="10">
        <f t="shared" si="11"/>
        <v>146937.5775</v>
      </c>
      <c r="AA8" s="10">
        <f t="array" ref="AA8">INDEX(Financing!$E$17:$E$79,A8+1)+INDEX(Financing!$I$17:$I$79,A8+1)</f>
        <v>1140000</v>
      </c>
      <c r="AB8" s="50">
        <f t="shared" ref="AB8:AC8" si="13">AB7</f>
        <v>312.4663677</v>
      </c>
      <c r="AC8" s="50">
        <f t="shared" si="13"/>
        <v>424.0750126</v>
      </c>
      <c r="AD8" s="8" t="str">
        <f>IF(C8=1,"REOPEN",IF(A8=Inputs!$B$15,"DEBT START",IF(AND(C8&gt;0,MOD(C8,12)=0),"YEAR END","")))</f>
        <v>REOPEN</v>
      </c>
    </row>
    <row r="9">
      <c r="A9" s="50">
        <f t="shared" si="9"/>
        <v>4</v>
      </c>
      <c r="B9" s="50" t="str">
        <f>IF(A9&lt;Inputs!$B$27,"BUILD","OPEN")</f>
        <v>OPEN</v>
      </c>
      <c r="C9" s="50">
        <f>IF(B9="OPEN",A9-Inputs!$B$27+1,0)</f>
        <v>2</v>
      </c>
      <c r="D9" s="50">
        <f>IF(C9=0,0,MIN(Inputs!$B$25,IF(C9=1,ROUND(Inputs!$B$24*Inputs!$B$28,0),IF(C9&lt;=12,ROUND(ROUND(Inputs!$B$24*Inputs!$B$28,0)+(Inputs!$B$70-ROUND(Inputs!$B$24*Inputs!$B$28,0))*(C9-1)/11,0),IF(C9&lt;=24,ROUND(Inputs!$B$70+(Inputs!$B$71-Inputs!$B$70)*(C9-12)/12,0),IF(C9&lt;=36,ROUND(Inputs!$B$71+(Inputs!$B$72-Inputs!$B$71)*(C9-24)/12,0),IF(C9&lt;=48,ROUND(Inputs!$B$72+(Inputs!$B$73-Inputs!$B$72)*(C9-36)/12,0),ROUND(Inputs!$B$73+(Inputs!$B$74-Inputs!$B$73)*MIN(C9-48,12)/12,0))))))))</f>
        <v>257</v>
      </c>
      <c r="E9" s="50">
        <f>IF(C9=0,0,IF(Inputs!$B$50=1,MIN(D9,MAX(0,Inputs!$B$57-Inputs!$B$54)),MIN(D9,Inputs!$B$57)))</f>
        <v>257</v>
      </c>
      <c r="F9" s="50">
        <f>IF(AND(C9&gt;=Inputs!$B$56,Inputs!$B$50=1),Inputs!$B$54,0)</f>
        <v>0</v>
      </c>
      <c r="G9" s="50">
        <f t="shared" si="1"/>
        <v>257</v>
      </c>
      <c r="H9" s="10">
        <f>Inputs!$B$44*(1+Inputs!$B$20)^MAX(0,ROUNDUP(C9/12,0)-1)</f>
        <v>223</v>
      </c>
      <c r="I9" s="10">
        <f>IF(C9=0,0,E9*H9+F9*Inputs!$B$55)</f>
        <v>57311</v>
      </c>
      <c r="J9" s="10">
        <f>IF(C9=0,0,Inputs!$B$47)</f>
        <v>6500</v>
      </c>
      <c r="K9" s="10">
        <f t="shared" si="2"/>
        <v>63811</v>
      </c>
      <c r="L9" s="10">
        <f>K9/(1+Inputs!$B$6)</f>
        <v>54077.11864</v>
      </c>
      <c r="M9" s="10">
        <f>(K9*Inputs!$B$49)/(1+Inputs!$B$6)</f>
        <v>540.7711864</v>
      </c>
      <c r="N9" s="10">
        <f>IF(C9=0,Inputs!$B$34,'Operating Costs'!$C$23*(1+Inputs!$B$19)^MAX(0,ROUNDUP(C9/12,0)-1))</f>
        <v>63913.72881</v>
      </c>
      <c r="O9" s="10">
        <f t="shared" si="3"/>
        <v>-10377.38136</v>
      </c>
      <c r="P9" s="10">
        <f t="array" ref="P9">INDEX(Financing!$J$17:$J$79,A9+1)</f>
        <v>0</v>
      </c>
      <c r="Q9" s="10">
        <f t="array" ref="Q9">INDEX(Financing!$G$17:$G$79,A9+1)</f>
        <v>0</v>
      </c>
      <c r="R9" s="10">
        <f>IF(C9=0,0,Inputs!$B$18)</f>
        <v>6813</v>
      </c>
      <c r="S9" s="10">
        <f t="shared" si="4"/>
        <v>-17190.38136</v>
      </c>
      <c r="T9" s="10">
        <f t="shared" si="10"/>
        <v>80799.15254</v>
      </c>
      <c r="U9" s="10">
        <f t="shared" si="5"/>
        <v>0</v>
      </c>
      <c r="V9" s="10">
        <f>U9*Inputs!$B$17</f>
        <v>0</v>
      </c>
      <c r="W9" s="10">
        <f t="shared" si="6"/>
        <v>97989.5339</v>
      </c>
      <c r="X9" s="10">
        <f t="shared" si="7"/>
        <v>-10377.38136</v>
      </c>
      <c r="Y9" s="10">
        <f>IF(A9=Inputs!$B$63,'Startup &amp; Funding'!$B$16,0)</f>
        <v>0</v>
      </c>
      <c r="Z9" s="10">
        <f t="shared" si="11"/>
        <v>136560.1961</v>
      </c>
      <c r="AA9" s="10">
        <f t="array" ref="AA9">INDEX(Financing!$E$17:$E$79,A9+1)+INDEX(Financing!$I$17:$I$79,A9+1)</f>
        <v>1140000</v>
      </c>
      <c r="AB9" s="50">
        <f t="shared" ref="AB9:AC9" si="14">AB8</f>
        <v>312.4663677</v>
      </c>
      <c r="AC9" s="50">
        <f t="shared" si="14"/>
        <v>424.0750126</v>
      </c>
      <c r="AD9" s="8" t="str">
        <f>IF(C9=1,"REOPEN",IF(A9=Inputs!$B$15,"DEBT START",IF(AND(C9&gt;0,MOD(C9,12)=0),"YEAR END","")))</f>
        <v/>
      </c>
    </row>
    <row r="10">
      <c r="A10" s="50">
        <f t="shared" si="9"/>
        <v>5</v>
      </c>
      <c r="B10" s="50" t="str">
        <f>IF(A10&lt;Inputs!$B$27,"BUILD","OPEN")</f>
        <v>OPEN</v>
      </c>
      <c r="C10" s="50">
        <f>IF(B10="OPEN",A10-Inputs!$B$27+1,0)</f>
        <v>3</v>
      </c>
      <c r="D10" s="50">
        <f>IF(C10=0,0,MIN(Inputs!$B$25,IF(C10=1,ROUND(Inputs!$B$24*Inputs!$B$28,0),IF(C10&lt;=12,ROUND(ROUND(Inputs!$B$24*Inputs!$B$28,0)+(Inputs!$B$70-ROUND(Inputs!$B$24*Inputs!$B$28,0))*(C10-1)/11,0),IF(C10&lt;=24,ROUND(Inputs!$B$70+(Inputs!$B$71-Inputs!$B$70)*(C10-12)/12,0),IF(C10&lt;=36,ROUND(Inputs!$B$71+(Inputs!$B$72-Inputs!$B$71)*(C10-24)/12,0),IF(C10&lt;=48,ROUND(Inputs!$B$72+(Inputs!$B$73-Inputs!$B$72)*(C10-36)/12,0),ROUND(Inputs!$B$73+(Inputs!$B$74-Inputs!$B$73)*MIN(C10-48,12)/12,0))))))))</f>
        <v>277</v>
      </c>
      <c r="E10" s="50">
        <f>IF(C10=0,0,IF(Inputs!$B$50=1,MIN(D10,MAX(0,Inputs!$B$57-Inputs!$B$54)),MIN(D10,Inputs!$B$57)))</f>
        <v>277</v>
      </c>
      <c r="F10" s="50">
        <f>IF(AND(C10&gt;=Inputs!$B$56,Inputs!$B$50=1),Inputs!$B$54,0)</f>
        <v>0</v>
      </c>
      <c r="G10" s="50">
        <f t="shared" si="1"/>
        <v>277</v>
      </c>
      <c r="H10" s="10">
        <f>Inputs!$B$44*(1+Inputs!$B$20)^MAX(0,ROUNDUP(C10/12,0)-1)</f>
        <v>223</v>
      </c>
      <c r="I10" s="10">
        <f>IF(C10=0,0,E10*H10+F10*Inputs!$B$55)</f>
        <v>61771</v>
      </c>
      <c r="J10" s="10">
        <f>IF(C10=0,0,Inputs!$B$47)</f>
        <v>6500</v>
      </c>
      <c r="K10" s="10">
        <f t="shared" si="2"/>
        <v>68271</v>
      </c>
      <c r="L10" s="10">
        <f>K10/(1+Inputs!$B$6)</f>
        <v>57856.77966</v>
      </c>
      <c r="M10" s="10">
        <f>(K10*Inputs!$B$49)/(1+Inputs!$B$6)</f>
        <v>578.5677966</v>
      </c>
      <c r="N10" s="10">
        <f>IF(C10=0,Inputs!$B$34,'Operating Costs'!$C$23*(1+Inputs!$B$19)^MAX(0,ROUNDUP(C10/12,0)-1))</f>
        <v>63913.72881</v>
      </c>
      <c r="O10" s="10">
        <f t="shared" si="3"/>
        <v>-6635.516949</v>
      </c>
      <c r="P10" s="10">
        <f t="array" ref="P10">INDEX(Financing!$J$17:$J$79,A10+1)</f>
        <v>0</v>
      </c>
      <c r="Q10" s="10">
        <f t="array" ref="Q10">INDEX(Financing!$G$17:$G$79,A10+1)</f>
        <v>0</v>
      </c>
      <c r="R10" s="10">
        <f>IF(C10=0,0,Inputs!$B$18)</f>
        <v>6813</v>
      </c>
      <c r="S10" s="10">
        <f t="shared" si="4"/>
        <v>-13448.51695</v>
      </c>
      <c r="T10" s="10">
        <f t="shared" si="10"/>
        <v>97989.5339</v>
      </c>
      <c r="U10" s="10">
        <f t="shared" si="5"/>
        <v>0</v>
      </c>
      <c r="V10" s="10">
        <f>U10*Inputs!$B$17</f>
        <v>0</v>
      </c>
      <c r="W10" s="10">
        <f t="shared" si="6"/>
        <v>111438.0508</v>
      </c>
      <c r="X10" s="10">
        <f t="shared" si="7"/>
        <v>-6635.516949</v>
      </c>
      <c r="Y10" s="10">
        <f>IF(A10=Inputs!$B$63,'Startup &amp; Funding'!$B$16,0)</f>
        <v>0</v>
      </c>
      <c r="Z10" s="10">
        <f t="shared" si="11"/>
        <v>129924.6792</v>
      </c>
      <c r="AA10" s="10">
        <f t="array" ref="AA10">INDEX(Financing!$E$17:$E$79,A10+1)+INDEX(Financing!$I$17:$I$79,A10+1)</f>
        <v>1140000</v>
      </c>
      <c r="AB10" s="50">
        <f t="shared" ref="AB10:AC10" si="15">AB9</f>
        <v>312.4663677</v>
      </c>
      <c r="AC10" s="50">
        <f t="shared" si="15"/>
        <v>424.0750126</v>
      </c>
      <c r="AD10" s="8" t="str">
        <f>IF(C10=1,"REOPEN",IF(A10=Inputs!$B$15,"DEBT START",IF(AND(C10&gt;0,MOD(C10,12)=0),"YEAR END","")))</f>
        <v/>
      </c>
    </row>
    <row r="11">
      <c r="A11" s="50">
        <f t="shared" si="9"/>
        <v>6</v>
      </c>
      <c r="B11" s="50" t="str">
        <f>IF(A11&lt;Inputs!$B$27,"BUILD","OPEN")</f>
        <v>OPEN</v>
      </c>
      <c r="C11" s="50">
        <f>IF(B11="OPEN",A11-Inputs!$B$27+1,0)</f>
        <v>4</v>
      </c>
      <c r="D11" s="50">
        <f>IF(C11=0,0,MIN(Inputs!$B$25,IF(C11=1,ROUND(Inputs!$B$24*Inputs!$B$28,0),IF(C11&lt;=12,ROUND(ROUND(Inputs!$B$24*Inputs!$B$28,0)+(Inputs!$B$70-ROUND(Inputs!$B$24*Inputs!$B$28,0))*(C11-1)/11,0),IF(C11&lt;=24,ROUND(Inputs!$B$70+(Inputs!$B$71-Inputs!$B$70)*(C11-12)/12,0),IF(C11&lt;=36,ROUND(Inputs!$B$71+(Inputs!$B$72-Inputs!$B$71)*(C11-24)/12,0),IF(C11&lt;=48,ROUND(Inputs!$B$72+(Inputs!$B$73-Inputs!$B$72)*(C11-36)/12,0),ROUND(Inputs!$B$73+(Inputs!$B$74-Inputs!$B$73)*MIN(C11-48,12)/12,0))))))))</f>
        <v>296</v>
      </c>
      <c r="E11" s="50">
        <f>IF(C11=0,0,IF(Inputs!$B$50=1,MIN(D11,MAX(0,Inputs!$B$57-Inputs!$B$54)),MIN(D11,Inputs!$B$57)))</f>
        <v>296</v>
      </c>
      <c r="F11" s="50">
        <f>IF(AND(C11&gt;=Inputs!$B$56,Inputs!$B$50=1),Inputs!$B$54,0)</f>
        <v>0</v>
      </c>
      <c r="G11" s="50">
        <f t="shared" si="1"/>
        <v>296</v>
      </c>
      <c r="H11" s="10">
        <f>Inputs!$B$44*(1+Inputs!$B$20)^MAX(0,ROUNDUP(C11/12,0)-1)</f>
        <v>223</v>
      </c>
      <c r="I11" s="10">
        <f>IF(C11=0,0,E11*H11+F11*Inputs!$B$55)</f>
        <v>66008</v>
      </c>
      <c r="J11" s="10">
        <f>IF(C11=0,0,Inputs!$B$47)</f>
        <v>6500</v>
      </c>
      <c r="K11" s="10">
        <f t="shared" si="2"/>
        <v>72508</v>
      </c>
      <c r="L11" s="10">
        <f>K11/(1+Inputs!$B$6)</f>
        <v>61447.45763</v>
      </c>
      <c r="M11" s="10">
        <f>(K11*Inputs!$B$49)/(1+Inputs!$B$6)</f>
        <v>614.4745763</v>
      </c>
      <c r="N11" s="10">
        <f>IF(C11=0,Inputs!$B$34,'Operating Costs'!$C$23*(1+Inputs!$B$19)^MAX(0,ROUNDUP(C11/12,0)-1))</f>
        <v>63913.72881</v>
      </c>
      <c r="O11" s="10">
        <f t="shared" si="3"/>
        <v>-3080.745763</v>
      </c>
      <c r="P11" s="10">
        <f t="array" ref="P11">INDEX(Financing!$J$17:$J$79,A11+1)</f>
        <v>0</v>
      </c>
      <c r="Q11" s="10">
        <f t="array" ref="Q11">INDEX(Financing!$G$17:$G$79,A11+1)</f>
        <v>0</v>
      </c>
      <c r="R11" s="10">
        <f>IF(C11=0,0,Inputs!$B$18)</f>
        <v>6813</v>
      </c>
      <c r="S11" s="10">
        <f t="shared" si="4"/>
        <v>-9893.745763</v>
      </c>
      <c r="T11" s="10">
        <f t="shared" si="10"/>
        <v>111438.0508</v>
      </c>
      <c r="U11" s="10">
        <f t="shared" si="5"/>
        <v>0</v>
      </c>
      <c r="V11" s="10">
        <f>U11*Inputs!$B$17</f>
        <v>0</v>
      </c>
      <c r="W11" s="10">
        <f t="shared" si="6"/>
        <v>121331.7966</v>
      </c>
      <c r="X11" s="10">
        <f t="shared" si="7"/>
        <v>-3080.745763</v>
      </c>
      <c r="Y11" s="10">
        <f>IF(A11=Inputs!$B$63,'Startup &amp; Funding'!$B$16,0)</f>
        <v>0</v>
      </c>
      <c r="Z11" s="10">
        <f t="shared" si="11"/>
        <v>126843.9334</v>
      </c>
      <c r="AA11" s="10">
        <f t="array" ref="AA11">INDEX(Financing!$E$17:$E$79,A11+1)+INDEX(Financing!$I$17:$I$79,A11+1)</f>
        <v>1140000</v>
      </c>
      <c r="AB11" s="50">
        <f t="shared" ref="AB11:AC11" si="16">AB10</f>
        <v>312.4663677</v>
      </c>
      <c r="AC11" s="50">
        <f t="shared" si="16"/>
        <v>424.0750126</v>
      </c>
      <c r="AD11" s="8" t="str">
        <f>IF(C11=1,"REOPEN",IF(A11=Inputs!$B$15,"DEBT START",IF(AND(C11&gt;0,MOD(C11,12)=0),"YEAR END","")))</f>
        <v/>
      </c>
    </row>
    <row r="12">
      <c r="A12" s="50">
        <f t="shared" si="9"/>
        <v>7</v>
      </c>
      <c r="B12" s="50" t="str">
        <f>IF(A12&lt;Inputs!$B$27,"BUILD","OPEN")</f>
        <v>OPEN</v>
      </c>
      <c r="C12" s="50">
        <f>IF(B12="OPEN",A12-Inputs!$B$27+1,0)</f>
        <v>5</v>
      </c>
      <c r="D12" s="50">
        <f>IF(C12=0,0,MIN(Inputs!$B$25,IF(C12=1,ROUND(Inputs!$B$24*Inputs!$B$28,0),IF(C12&lt;=12,ROUND(ROUND(Inputs!$B$24*Inputs!$B$28,0)+(Inputs!$B$70-ROUND(Inputs!$B$24*Inputs!$B$28,0))*(C12-1)/11,0),IF(C12&lt;=24,ROUND(Inputs!$B$70+(Inputs!$B$71-Inputs!$B$70)*(C12-12)/12,0),IF(C12&lt;=36,ROUND(Inputs!$B$71+(Inputs!$B$72-Inputs!$B$71)*(C12-24)/12,0),IF(C12&lt;=48,ROUND(Inputs!$B$72+(Inputs!$B$73-Inputs!$B$72)*(C12-36)/12,0),ROUND(Inputs!$B$73+(Inputs!$B$74-Inputs!$B$73)*MIN(C12-48,12)/12,0))))))))</f>
        <v>315</v>
      </c>
      <c r="E12" s="50">
        <f>IF(C12=0,0,IF(Inputs!$B$50=1,MIN(D12,MAX(0,Inputs!$B$57-Inputs!$B$54)),MIN(D12,Inputs!$B$57)))</f>
        <v>315</v>
      </c>
      <c r="F12" s="50">
        <f>IF(AND(C12&gt;=Inputs!$B$56,Inputs!$B$50=1),Inputs!$B$54,0)</f>
        <v>0</v>
      </c>
      <c r="G12" s="50">
        <f t="shared" si="1"/>
        <v>315</v>
      </c>
      <c r="H12" s="10">
        <f>Inputs!$B$44*(1+Inputs!$B$20)^MAX(0,ROUNDUP(C12/12,0)-1)</f>
        <v>223</v>
      </c>
      <c r="I12" s="10">
        <f>IF(C12=0,0,E12*H12+F12*Inputs!$B$55)</f>
        <v>70245</v>
      </c>
      <c r="J12" s="10">
        <f>IF(C12=0,0,Inputs!$B$47)</f>
        <v>6500</v>
      </c>
      <c r="K12" s="10">
        <f t="shared" si="2"/>
        <v>76745</v>
      </c>
      <c r="L12" s="10">
        <f>K12/(1+Inputs!$B$6)</f>
        <v>65038.13559</v>
      </c>
      <c r="M12" s="10">
        <f>(K12*Inputs!$B$49)/(1+Inputs!$B$6)</f>
        <v>650.3813559</v>
      </c>
      <c r="N12" s="10">
        <f>IF(C12=0,Inputs!$B$34,'Operating Costs'!$C$23*(1+Inputs!$B$19)^MAX(0,ROUNDUP(C12/12,0)-1))</f>
        <v>63913.72881</v>
      </c>
      <c r="O12" s="10">
        <f t="shared" si="3"/>
        <v>474.0254237</v>
      </c>
      <c r="P12" s="10">
        <f t="array" ref="P12">INDEX(Financing!$J$17:$J$79,A12+1)</f>
        <v>0</v>
      </c>
      <c r="Q12" s="10">
        <f t="array" ref="Q12">INDEX(Financing!$G$17:$G$79,A12+1)</f>
        <v>0</v>
      </c>
      <c r="R12" s="10">
        <f>IF(C12=0,0,Inputs!$B$18)</f>
        <v>6813</v>
      </c>
      <c r="S12" s="10">
        <f t="shared" si="4"/>
        <v>-6338.974576</v>
      </c>
      <c r="T12" s="10">
        <f t="shared" si="10"/>
        <v>121331.7966</v>
      </c>
      <c r="U12" s="10">
        <f t="shared" si="5"/>
        <v>0</v>
      </c>
      <c r="V12" s="10">
        <f>U12*Inputs!$B$17</f>
        <v>0</v>
      </c>
      <c r="W12" s="10">
        <f t="shared" si="6"/>
        <v>127670.7712</v>
      </c>
      <c r="X12" s="10">
        <f t="shared" si="7"/>
        <v>474.0254237</v>
      </c>
      <c r="Y12" s="10">
        <f>IF(A12=Inputs!$B$63,'Startup &amp; Funding'!$B$16,0)</f>
        <v>0</v>
      </c>
      <c r="Z12" s="10">
        <f t="shared" si="11"/>
        <v>127317.9588</v>
      </c>
      <c r="AA12" s="10">
        <f t="array" ref="AA12">INDEX(Financing!$E$17:$E$79,A12+1)+INDEX(Financing!$I$17:$I$79,A12+1)</f>
        <v>1140000</v>
      </c>
      <c r="AB12" s="50">
        <f t="shared" ref="AB12:AC12" si="17">AB11</f>
        <v>312.4663677</v>
      </c>
      <c r="AC12" s="50">
        <f t="shared" si="17"/>
        <v>424.0750126</v>
      </c>
      <c r="AD12" s="8" t="str">
        <f>IF(C12=1,"REOPEN",IF(A12=Inputs!$B$15,"DEBT START",IF(AND(C12&gt;0,MOD(C12,12)=0),"YEAR END","")))</f>
        <v/>
      </c>
    </row>
    <row r="13">
      <c r="A13" s="50">
        <f t="shared" si="9"/>
        <v>8</v>
      </c>
      <c r="B13" s="50" t="str">
        <f>IF(A13&lt;Inputs!$B$27,"BUILD","OPEN")</f>
        <v>OPEN</v>
      </c>
      <c r="C13" s="50">
        <f>IF(B13="OPEN",A13-Inputs!$B$27+1,0)</f>
        <v>6</v>
      </c>
      <c r="D13" s="50">
        <f>IF(C13=0,0,MIN(Inputs!$B$25,IF(C13=1,ROUND(Inputs!$B$24*Inputs!$B$28,0),IF(C13&lt;=12,ROUND(ROUND(Inputs!$B$24*Inputs!$B$28,0)+(Inputs!$B$70-ROUND(Inputs!$B$24*Inputs!$B$28,0))*(C13-1)/11,0),IF(C13&lt;=24,ROUND(Inputs!$B$70+(Inputs!$B$71-Inputs!$B$70)*(C13-12)/12,0),IF(C13&lt;=36,ROUND(Inputs!$B$71+(Inputs!$B$72-Inputs!$B$71)*(C13-24)/12,0),IF(C13&lt;=48,ROUND(Inputs!$B$72+(Inputs!$B$73-Inputs!$B$72)*(C13-36)/12,0),ROUND(Inputs!$B$73+(Inputs!$B$74-Inputs!$B$73)*MIN(C13-48,12)/12,0))))))))</f>
        <v>334</v>
      </c>
      <c r="E13" s="50">
        <f>IF(C13=0,0,IF(Inputs!$B$50=1,MIN(D13,MAX(0,Inputs!$B$57-Inputs!$B$54)),MIN(D13,Inputs!$B$57)))</f>
        <v>334</v>
      </c>
      <c r="F13" s="50">
        <f>IF(AND(C13&gt;=Inputs!$B$56,Inputs!$B$50=1),Inputs!$B$54,0)</f>
        <v>0</v>
      </c>
      <c r="G13" s="50">
        <f t="shared" si="1"/>
        <v>334</v>
      </c>
      <c r="H13" s="10">
        <f>Inputs!$B$44*(1+Inputs!$B$20)^MAX(0,ROUNDUP(C13/12,0)-1)</f>
        <v>223</v>
      </c>
      <c r="I13" s="10">
        <f>IF(C13=0,0,E13*H13+F13*Inputs!$B$55)</f>
        <v>74482</v>
      </c>
      <c r="J13" s="10">
        <f>IF(C13=0,0,Inputs!$B$47)</f>
        <v>6500</v>
      </c>
      <c r="K13" s="10">
        <f t="shared" si="2"/>
        <v>80982</v>
      </c>
      <c r="L13" s="10">
        <f>K13/(1+Inputs!$B$6)</f>
        <v>68628.81356</v>
      </c>
      <c r="M13" s="10">
        <f>(K13*Inputs!$B$49)/(1+Inputs!$B$6)</f>
        <v>686.2881356</v>
      </c>
      <c r="N13" s="10">
        <f>IF(C13=0,Inputs!$B$34,'Operating Costs'!$C$23*(1+Inputs!$B$19)^MAX(0,ROUNDUP(C13/12,0)-1))</f>
        <v>63913.72881</v>
      </c>
      <c r="O13" s="10">
        <f t="shared" si="3"/>
        <v>4028.79661</v>
      </c>
      <c r="P13" s="10">
        <f t="array" ref="P13">INDEX(Financing!$J$17:$J$79,A13+1)</f>
        <v>0</v>
      </c>
      <c r="Q13" s="10">
        <f t="array" ref="Q13">INDEX(Financing!$G$17:$G$79,A13+1)</f>
        <v>0</v>
      </c>
      <c r="R13" s="10">
        <f>IF(C13=0,0,Inputs!$B$18)</f>
        <v>6813</v>
      </c>
      <c r="S13" s="10">
        <f t="shared" si="4"/>
        <v>-2784.20339</v>
      </c>
      <c r="T13" s="10">
        <f t="shared" si="10"/>
        <v>127670.7712</v>
      </c>
      <c r="U13" s="10">
        <f t="shared" si="5"/>
        <v>0</v>
      </c>
      <c r="V13" s="10">
        <f>U13*Inputs!$B$17</f>
        <v>0</v>
      </c>
      <c r="W13" s="10">
        <f t="shared" si="6"/>
        <v>130454.9746</v>
      </c>
      <c r="X13" s="10">
        <f t="shared" si="7"/>
        <v>4028.79661</v>
      </c>
      <c r="Y13" s="10">
        <f>IF(A13=Inputs!$B$63,'Startup &amp; Funding'!$B$16,0)</f>
        <v>0</v>
      </c>
      <c r="Z13" s="10">
        <f t="shared" si="11"/>
        <v>131346.7554</v>
      </c>
      <c r="AA13" s="10">
        <f t="array" ref="AA13">INDEX(Financing!$E$17:$E$79,A13+1)+INDEX(Financing!$I$17:$I$79,A13+1)</f>
        <v>1140000</v>
      </c>
      <c r="AB13" s="50">
        <f t="shared" ref="AB13:AC13" si="18">AB12</f>
        <v>312.4663677</v>
      </c>
      <c r="AC13" s="50">
        <f t="shared" si="18"/>
        <v>424.0750126</v>
      </c>
      <c r="AD13" s="8" t="str">
        <f>IF(C13=1,"REOPEN",IF(A13=Inputs!$B$15,"DEBT START",IF(AND(C13&gt;0,MOD(C13,12)=0),"YEAR END","")))</f>
        <v/>
      </c>
    </row>
    <row r="14">
      <c r="A14" s="50">
        <f t="shared" si="9"/>
        <v>9</v>
      </c>
      <c r="B14" s="50" t="str">
        <f>IF(A14&lt;Inputs!$B$27,"BUILD","OPEN")</f>
        <v>OPEN</v>
      </c>
      <c r="C14" s="50">
        <f>IF(B14="OPEN",A14-Inputs!$B$27+1,0)</f>
        <v>7</v>
      </c>
      <c r="D14" s="50">
        <f>IF(C14=0,0,MIN(Inputs!$B$25,IF(C14=1,ROUND(Inputs!$B$24*Inputs!$B$28,0),IF(C14&lt;=12,ROUND(ROUND(Inputs!$B$24*Inputs!$B$28,0)+(Inputs!$B$70-ROUND(Inputs!$B$24*Inputs!$B$28,0))*(C14-1)/11,0),IF(C14&lt;=24,ROUND(Inputs!$B$70+(Inputs!$B$71-Inputs!$B$70)*(C14-12)/12,0),IF(C14&lt;=36,ROUND(Inputs!$B$71+(Inputs!$B$72-Inputs!$B$71)*(C14-24)/12,0),IF(C14&lt;=48,ROUND(Inputs!$B$72+(Inputs!$B$73-Inputs!$B$72)*(C14-36)/12,0),ROUND(Inputs!$B$73+(Inputs!$B$74-Inputs!$B$73)*MIN(C14-48,12)/12,0))))))))</f>
        <v>354</v>
      </c>
      <c r="E14" s="50">
        <f>IF(C14=0,0,IF(Inputs!$B$50=1,MIN(D14,MAX(0,Inputs!$B$57-Inputs!$B$54)),MIN(D14,Inputs!$B$57)))</f>
        <v>354</v>
      </c>
      <c r="F14" s="50">
        <f>IF(AND(C14&gt;=Inputs!$B$56,Inputs!$B$50=1),Inputs!$B$54,0)</f>
        <v>0</v>
      </c>
      <c r="G14" s="50">
        <f t="shared" si="1"/>
        <v>354</v>
      </c>
      <c r="H14" s="10">
        <f>Inputs!$B$44*(1+Inputs!$B$20)^MAX(0,ROUNDUP(C14/12,0)-1)</f>
        <v>223</v>
      </c>
      <c r="I14" s="10">
        <f>IF(C14=0,0,E14*H14+F14*Inputs!$B$55)</f>
        <v>78942</v>
      </c>
      <c r="J14" s="10">
        <f>IF(C14=0,0,Inputs!$B$47)</f>
        <v>6500</v>
      </c>
      <c r="K14" s="10">
        <f t="shared" si="2"/>
        <v>85442</v>
      </c>
      <c r="L14" s="10">
        <f>K14/(1+Inputs!$B$6)</f>
        <v>72408.47458</v>
      </c>
      <c r="M14" s="10">
        <f>(K14*Inputs!$B$49)/(1+Inputs!$B$6)</f>
        <v>724.0847458</v>
      </c>
      <c r="N14" s="10">
        <f>IF(C14=0,Inputs!$B$34,'Operating Costs'!$C$23*(1+Inputs!$B$19)^MAX(0,ROUNDUP(C14/12,0)-1))</f>
        <v>63913.72881</v>
      </c>
      <c r="O14" s="10">
        <f t="shared" si="3"/>
        <v>7770.661017</v>
      </c>
      <c r="P14" s="10">
        <f t="array" ref="P14">INDEX(Financing!$J$17:$J$79,A14+1)</f>
        <v>0</v>
      </c>
      <c r="Q14" s="10">
        <f t="array" ref="Q14">INDEX(Financing!$G$17:$G$79,A14+1)</f>
        <v>0</v>
      </c>
      <c r="R14" s="10">
        <f>IF(C14=0,0,Inputs!$B$18)</f>
        <v>6813</v>
      </c>
      <c r="S14" s="10">
        <f t="shared" si="4"/>
        <v>957.6610169</v>
      </c>
      <c r="T14" s="10">
        <f t="shared" si="10"/>
        <v>130454.9746</v>
      </c>
      <c r="U14" s="10">
        <f t="shared" si="5"/>
        <v>0</v>
      </c>
      <c r="V14" s="10">
        <f>U14*Inputs!$B$17</f>
        <v>0</v>
      </c>
      <c r="W14" s="10">
        <f t="shared" si="6"/>
        <v>129497.3136</v>
      </c>
      <c r="X14" s="10">
        <f t="shared" si="7"/>
        <v>7770.661017</v>
      </c>
      <c r="Y14" s="10">
        <f>IF(A14=Inputs!$B$63,'Startup &amp; Funding'!$B$16,0)</f>
        <v>0</v>
      </c>
      <c r="Z14" s="10">
        <f t="shared" si="11"/>
        <v>139117.4164</v>
      </c>
      <c r="AA14" s="10">
        <f t="array" ref="AA14">INDEX(Financing!$E$17:$E$79,A14+1)+INDEX(Financing!$I$17:$I$79,A14+1)</f>
        <v>1140000</v>
      </c>
      <c r="AB14" s="50">
        <f t="shared" ref="AB14:AC14" si="19">AB13</f>
        <v>312.4663677</v>
      </c>
      <c r="AC14" s="50">
        <f t="shared" si="19"/>
        <v>424.0750126</v>
      </c>
      <c r="AD14" s="8" t="str">
        <f>IF(C14=1,"REOPEN",IF(A14=Inputs!$B$15,"DEBT START",IF(AND(C14&gt;0,MOD(C14,12)=0),"YEAR END","")))</f>
        <v/>
      </c>
    </row>
    <row r="15">
      <c r="A15" s="50">
        <f t="shared" si="9"/>
        <v>10</v>
      </c>
      <c r="B15" s="50" t="str">
        <f>IF(A15&lt;Inputs!$B$27,"BUILD","OPEN")</f>
        <v>OPEN</v>
      </c>
      <c r="C15" s="50">
        <f>IF(B15="OPEN",A15-Inputs!$B$27+1,0)</f>
        <v>8</v>
      </c>
      <c r="D15" s="50">
        <f>IF(C15=0,0,MIN(Inputs!$B$25,IF(C15=1,ROUND(Inputs!$B$24*Inputs!$B$28,0),IF(C15&lt;=12,ROUND(ROUND(Inputs!$B$24*Inputs!$B$28,0)+(Inputs!$B$70-ROUND(Inputs!$B$24*Inputs!$B$28,0))*(C15-1)/11,0),IF(C15&lt;=24,ROUND(Inputs!$B$70+(Inputs!$B$71-Inputs!$B$70)*(C15-12)/12,0),IF(C15&lt;=36,ROUND(Inputs!$B$71+(Inputs!$B$72-Inputs!$B$71)*(C15-24)/12,0),IF(C15&lt;=48,ROUND(Inputs!$B$72+(Inputs!$B$73-Inputs!$B$72)*(C15-36)/12,0),ROUND(Inputs!$B$73+(Inputs!$B$74-Inputs!$B$73)*MIN(C15-48,12)/12,0))))))))</f>
        <v>373</v>
      </c>
      <c r="E15" s="50">
        <f>IF(C15=0,0,IF(Inputs!$B$50=1,MIN(D15,MAX(0,Inputs!$B$57-Inputs!$B$54)),MIN(D15,Inputs!$B$57)))</f>
        <v>373</v>
      </c>
      <c r="F15" s="50">
        <f>IF(AND(C15&gt;=Inputs!$B$56,Inputs!$B$50=1),Inputs!$B$54,0)</f>
        <v>0</v>
      </c>
      <c r="G15" s="50">
        <f t="shared" si="1"/>
        <v>373</v>
      </c>
      <c r="H15" s="10">
        <f>Inputs!$B$44*(1+Inputs!$B$20)^MAX(0,ROUNDUP(C15/12,0)-1)</f>
        <v>223</v>
      </c>
      <c r="I15" s="10">
        <f>IF(C15=0,0,E15*H15+F15*Inputs!$B$55)</f>
        <v>83179</v>
      </c>
      <c r="J15" s="10">
        <f>IF(C15=0,0,Inputs!$B$47)</f>
        <v>6500</v>
      </c>
      <c r="K15" s="10">
        <f t="shared" si="2"/>
        <v>89679</v>
      </c>
      <c r="L15" s="10">
        <f>K15/(1+Inputs!$B$6)</f>
        <v>75999.15254</v>
      </c>
      <c r="M15" s="10">
        <f>(K15*Inputs!$B$49)/(1+Inputs!$B$6)</f>
        <v>759.9915254</v>
      </c>
      <c r="N15" s="10">
        <f>IF(C15=0,Inputs!$B$34,'Operating Costs'!$C$23*(1+Inputs!$B$19)^MAX(0,ROUNDUP(C15/12,0)-1))</f>
        <v>63913.72881</v>
      </c>
      <c r="O15" s="10">
        <f t="shared" si="3"/>
        <v>11325.4322</v>
      </c>
      <c r="P15" s="10">
        <f t="array" ref="P15">INDEX(Financing!$J$17:$J$79,A15+1)</f>
        <v>0</v>
      </c>
      <c r="Q15" s="10">
        <f t="array" ref="Q15">INDEX(Financing!$G$17:$G$79,A15+1)</f>
        <v>0</v>
      </c>
      <c r="R15" s="10">
        <f>IF(C15=0,0,Inputs!$B$18)</f>
        <v>6813</v>
      </c>
      <c r="S15" s="10">
        <f t="shared" si="4"/>
        <v>4512.432203</v>
      </c>
      <c r="T15" s="10">
        <f t="shared" si="10"/>
        <v>129497.3136</v>
      </c>
      <c r="U15" s="10">
        <f t="shared" si="5"/>
        <v>0</v>
      </c>
      <c r="V15" s="10">
        <f>U15*Inputs!$B$17</f>
        <v>0</v>
      </c>
      <c r="W15" s="10">
        <f t="shared" si="6"/>
        <v>124984.8814</v>
      </c>
      <c r="X15" s="10">
        <f t="shared" si="7"/>
        <v>11325.4322</v>
      </c>
      <c r="Y15" s="10">
        <f>IF(A15=Inputs!$B$63,'Startup &amp; Funding'!$B$16,0)</f>
        <v>0</v>
      </c>
      <c r="Z15" s="10">
        <f t="shared" si="11"/>
        <v>150442.8486</v>
      </c>
      <c r="AA15" s="10">
        <f t="array" ref="AA15">INDEX(Financing!$E$17:$E$79,A15+1)+INDEX(Financing!$I$17:$I$79,A15+1)</f>
        <v>1140000</v>
      </c>
      <c r="AB15" s="50">
        <f t="shared" ref="AB15:AC15" si="20">AB14</f>
        <v>312.4663677</v>
      </c>
      <c r="AC15" s="50">
        <f t="shared" si="20"/>
        <v>424.0750126</v>
      </c>
      <c r="AD15" s="8" t="str">
        <f>IF(C15=1,"REOPEN",IF(A15=Inputs!$B$15,"DEBT START",IF(AND(C15&gt;0,MOD(C15,12)=0),"YEAR END","")))</f>
        <v/>
      </c>
    </row>
    <row r="16">
      <c r="A16" s="50">
        <f t="shared" si="9"/>
        <v>11</v>
      </c>
      <c r="B16" s="50" t="str">
        <f>IF(A16&lt;Inputs!$B$27,"BUILD","OPEN")</f>
        <v>OPEN</v>
      </c>
      <c r="C16" s="50">
        <f>IF(B16="OPEN",A16-Inputs!$B$27+1,0)</f>
        <v>9</v>
      </c>
      <c r="D16" s="50">
        <f>IF(C16=0,0,MIN(Inputs!$B$25,IF(C16=1,ROUND(Inputs!$B$24*Inputs!$B$28,0),IF(C16&lt;=12,ROUND(ROUND(Inputs!$B$24*Inputs!$B$28,0)+(Inputs!$B$70-ROUND(Inputs!$B$24*Inputs!$B$28,0))*(C16-1)/11,0),IF(C16&lt;=24,ROUND(Inputs!$B$70+(Inputs!$B$71-Inputs!$B$70)*(C16-12)/12,0),IF(C16&lt;=36,ROUND(Inputs!$B$71+(Inputs!$B$72-Inputs!$B$71)*(C16-24)/12,0),IF(C16&lt;=48,ROUND(Inputs!$B$72+(Inputs!$B$73-Inputs!$B$72)*(C16-36)/12,0),ROUND(Inputs!$B$73+(Inputs!$B$74-Inputs!$B$73)*MIN(C16-48,12)/12,0))))))))</f>
        <v>392</v>
      </c>
      <c r="E16" s="50">
        <f>IF(C16=0,0,IF(Inputs!$B$50=1,MIN(D16,MAX(0,Inputs!$B$57-Inputs!$B$54)),MIN(D16,Inputs!$B$57)))</f>
        <v>392</v>
      </c>
      <c r="F16" s="50">
        <f>IF(AND(C16&gt;=Inputs!$B$56,Inputs!$B$50=1),Inputs!$B$54,0)</f>
        <v>0</v>
      </c>
      <c r="G16" s="50">
        <f t="shared" si="1"/>
        <v>392</v>
      </c>
      <c r="H16" s="10">
        <f>Inputs!$B$44*(1+Inputs!$B$20)^MAX(0,ROUNDUP(C16/12,0)-1)</f>
        <v>223</v>
      </c>
      <c r="I16" s="10">
        <f>IF(C16=0,0,E16*H16+F16*Inputs!$B$55)</f>
        <v>87416</v>
      </c>
      <c r="J16" s="10">
        <f>IF(C16=0,0,Inputs!$B$47)</f>
        <v>6500</v>
      </c>
      <c r="K16" s="10">
        <f t="shared" si="2"/>
        <v>93916</v>
      </c>
      <c r="L16" s="10">
        <f>K16/(1+Inputs!$B$6)</f>
        <v>79589.83051</v>
      </c>
      <c r="M16" s="10">
        <f>(K16*Inputs!$B$49)/(1+Inputs!$B$6)</f>
        <v>795.8983051</v>
      </c>
      <c r="N16" s="10">
        <f>IF(C16=0,Inputs!$B$34,'Operating Costs'!$C$23*(1+Inputs!$B$19)^MAX(0,ROUNDUP(C16/12,0)-1))</f>
        <v>63913.72881</v>
      </c>
      <c r="O16" s="10">
        <f t="shared" si="3"/>
        <v>14880.20339</v>
      </c>
      <c r="P16" s="10">
        <f t="array" ref="P16">INDEX(Financing!$J$17:$J$79,A16+1)</f>
        <v>0</v>
      </c>
      <c r="Q16" s="10">
        <f t="array" ref="Q16">INDEX(Financing!$G$17:$G$79,A16+1)</f>
        <v>0</v>
      </c>
      <c r="R16" s="10">
        <f>IF(C16=0,0,Inputs!$B$18)</f>
        <v>6813</v>
      </c>
      <c r="S16" s="10">
        <f t="shared" si="4"/>
        <v>8067.20339</v>
      </c>
      <c r="T16" s="10">
        <f t="shared" si="10"/>
        <v>124984.8814</v>
      </c>
      <c r="U16" s="10">
        <f t="shared" si="5"/>
        <v>0</v>
      </c>
      <c r="V16" s="10">
        <f>U16*Inputs!$B$17</f>
        <v>0</v>
      </c>
      <c r="W16" s="10">
        <f t="shared" si="6"/>
        <v>116917.678</v>
      </c>
      <c r="X16" s="10">
        <f t="shared" si="7"/>
        <v>14880.20339</v>
      </c>
      <c r="Y16" s="10">
        <f>IF(A16=Inputs!$B$63,'Startup &amp; Funding'!$B$16,0)</f>
        <v>0</v>
      </c>
      <c r="Z16" s="10">
        <f t="shared" si="11"/>
        <v>165323.052</v>
      </c>
      <c r="AA16" s="10">
        <f t="array" ref="AA16">INDEX(Financing!$E$17:$E$79,A16+1)+INDEX(Financing!$I$17:$I$79,A16+1)</f>
        <v>1140000</v>
      </c>
      <c r="AB16" s="50">
        <f t="shared" ref="AB16:AC16" si="21">AB15</f>
        <v>312.4663677</v>
      </c>
      <c r="AC16" s="50">
        <f t="shared" si="21"/>
        <v>424.0750126</v>
      </c>
      <c r="AD16" s="8" t="str">
        <f>IF(C16=1,"REOPEN",IF(A16=Inputs!$B$15,"DEBT START",IF(AND(C16&gt;0,MOD(C16,12)=0),"YEAR END","")))</f>
        <v/>
      </c>
    </row>
    <row r="17">
      <c r="A17" s="50">
        <f t="shared" si="9"/>
        <v>12</v>
      </c>
      <c r="B17" s="50" t="str">
        <f>IF(A17&lt;Inputs!$B$27,"BUILD","OPEN")</f>
        <v>OPEN</v>
      </c>
      <c r="C17" s="50">
        <f>IF(B17="OPEN",A17-Inputs!$B$27+1,0)</f>
        <v>10</v>
      </c>
      <c r="D17" s="50">
        <f>IF(C17=0,0,MIN(Inputs!$B$25,IF(C17=1,ROUND(Inputs!$B$24*Inputs!$B$28,0),IF(C17&lt;=12,ROUND(ROUND(Inputs!$B$24*Inputs!$B$28,0)+(Inputs!$B$70-ROUND(Inputs!$B$24*Inputs!$B$28,0))*(C17-1)/11,0),IF(C17&lt;=24,ROUND(Inputs!$B$70+(Inputs!$B$71-Inputs!$B$70)*(C17-12)/12,0),IF(C17&lt;=36,ROUND(Inputs!$B$71+(Inputs!$B$72-Inputs!$B$71)*(C17-24)/12,0),IF(C17&lt;=48,ROUND(Inputs!$B$72+(Inputs!$B$73-Inputs!$B$72)*(C17-36)/12,0),ROUND(Inputs!$B$73+(Inputs!$B$74-Inputs!$B$73)*MIN(C17-48,12)/12,0))))))))</f>
        <v>411</v>
      </c>
      <c r="E17" s="50">
        <f>IF(C17=0,0,IF(Inputs!$B$50=1,MIN(D17,MAX(0,Inputs!$B$57-Inputs!$B$54)),MIN(D17,Inputs!$B$57)))</f>
        <v>411</v>
      </c>
      <c r="F17" s="50">
        <f>IF(AND(C17&gt;=Inputs!$B$56,Inputs!$B$50=1),Inputs!$B$54,0)</f>
        <v>0</v>
      </c>
      <c r="G17" s="50">
        <f t="shared" si="1"/>
        <v>411</v>
      </c>
      <c r="H17" s="10">
        <f>Inputs!$B$44*(1+Inputs!$B$20)^MAX(0,ROUNDUP(C17/12,0)-1)</f>
        <v>223</v>
      </c>
      <c r="I17" s="10">
        <f>IF(C17=0,0,E17*H17+F17*Inputs!$B$55)</f>
        <v>91653</v>
      </c>
      <c r="J17" s="10">
        <f>IF(C17=0,0,Inputs!$B$47)</f>
        <v>6500</v>
      </c>
      <c r="K17" s="10">
        <f t="shared" si="2"/>
        <v>98153</v>
      </c>
      <c r="L17" s="10">
        <f>K17/(1+Inputs!$B$6)</f>
        <v>83180.50847</v>
      </c>
      <c r="M17" s="10">
        <f>(K17*Inputs!$B$49)/(1+Inputs!$B$6)</f>
        <v>831.8050847</v>
      </c>
      <c r="N17" s="10">
        <f>IF(C17=0,Inputs!$B$34,'Operating Costs'!$C$23*(1+Inputs!$B$19)^MAX(0,ROUNDUP(C17/12,0)-1))</f>
        <v>63913.72881</v>
      </c>
      <c r="O17" s="10">
        <f t="shared" si="3"/>
        <v>18434.97458</v>
      </c>
      <c r="P17" s="10">
        <f t="array" ref="P17">INDEX(Financing!$J$17:$J$79,A17+1)</f>
        <v>20881.22078</v>
      </c>
      <c r="Q17" s="10">
        <f t="array" ref="Q17">INDEX(Financing!$G$17:$G$79,A17+1)</f>
        <v>3562.5</v>
      </c>
      <c r="R17" s="10">
        <f>IF(C17=0,0,Inputs!$B$18)</f>
        <v>6813</v>
      </c>
      <c r="S17" s="10">
        <f t="shared" si="4"/>
        <v>8059.474576</v>
      </c>
      <c r="T17" s="10">
        <f t="shared" si="10"/>
        <v>116917.678</v>
      </c>
      <c r="U17" s="10">
        <f t="shared" si="5"/>
        <v>0</v>
      </c>
      <c r="V17" s="10">
        <f>U17*Inputs!$B$17</f>
        <v>0</v>
      </c>
      <c r="W17" s="10">
        <f t="shared" si="6"/>
        <v>108858.2034</v>
      </c>
      <c r="X17" s="10">
        <f t="shared" si="7"/>
        <v>-2446.246205</v>
      </c>
      <c r="Y17" s="10">
        <f>IF(A17=Inputs!$B$63,'Startup &amp; Funding'!$B$16,0)</f>
        <v>0</v>
      </c>
      <c r="Z17" s="10">
        <f t="shared" si="11"/>
        <v>162876.8058</v>
      </c>
      <c r="AA17" s="10">
        <f t="array" ref="AA17">INDEX(Financing!$E$17:$E$79,A17+1)+INDEX(Financing!$I$17:$I$79,A17+1)</f>
        <v>1122681.279</v>
      </c>
      <c r="AB17" s="50">
        <f t="shared" ref="AB17:AC17" si="22">AB16</f>
        <v>312.4663677</v>
      </c>
      <c r="AC17" s="50">
        <f t="shared" si="22"/>
        <v>424.0750126</v>
      </c>
      <c r="AD17" s="8" t="str">
        <f>IF(C17=1,"REOPEN",IF(A17=Inputs!$B$15,"DEBT START",IF(AND(C17&gt;0,MOD(C17,12)=0),"YEAR END","")))</f>
        <v>DEBT START</v>
      </c>
    </row>
    <row r="18">
      <c r="A18" s="50">
        <f t="shared" si="9"/>
        <v>13</v>
      </c>
      <c r="B18" s="50" t="str">
        <f>IF(A18&lt;Inputs!$B$27,"BUILD","OPEN")</f>
        <v>OPEN</v>
      </c>
      <c r="C18" s="50">
        <f>IF(B18="OPEN",A18-Inputs!$B$27+1,0)</f>
        <v>11</v>
      </c>
      <c r="D18" s="50">
        <f>IF(C18=0,0,MIN(Inputs!$B$25,IF(C18=1,ROUND(Inputs!$B$24*Inputs!$B$28,0),IF(C18&lt;=12,ROUND(ROUND(Inputs!$B$24*Inputs!$B$28,0)+(Inputs!$B$70-ROUND(Inputs!$B$24*Inputs!$B$28,0))*(C18-1)/11,0),IF(C18&lt;=24,ROUND(Inputs!$B$70+(Inputs!$B$71-Inputs!$B$70)*(C18-12)/12,0),IF(C18&lt;=36,ROUND(Inputs!$B$71+(Inputs!$B$72-Inputs!$B$71)*(C18-24)/12,0),IF(C18&lt;=48,ROUND(Inputs!$B$72+(Inputs!$B$73-Inputs!$B$72)*(C18-36)/12,0),ROUND(Inputs!$B$73+(Inputs!$B$74-Inputs!$B$73)*MIN(C18-48,12)/12,0))))))))</f>
        <v>431</v>
      </c>
      <c r="E18" s="50">
        <f>IF(C18=0,0,IF(Inputs!$B$50=1,MIN(D18,MAX(0,Inputs!$B$57-Inputs!$B$54)),MIN(D18,Inputs!$B$57)))</f>
        <v>431</v>
      </c>
      <c r="F18" s="50">
        <f>IF(AND(C18&gt;=Inputs!$B$56,Inputs!$B$50=1),Inputs!$B$54,0)</f>
        <v>0</v>
      </c>
      <c r="G18" s="50">
        <f t="shared" si="1"/>
        <v>431</v>
      </c>
      <c r="H18" s="10">
        <f>Inputs!$B$44*(1+Inputs!$B$20)^MAX(0,ROUNDUP(C18/12,0)-1)</f>
        <v>223</v>
      </c>
      <c r="I18" s="10">
        <f>IF(C18=0,0,E18*H18+F18*Inputs!$B$55)</f>
        <v>96113</v>
      </c>
      <c r="J18" s="10">
        <f>IF(C18=0,0,Inputs!$B$47)</f>
        <v>6500</v>
      </c>
      <c r="K18" s="10">
        <f t="shared" si="2"/>
        <v>102613</v>
      </c>
      <c r="L18" s="10">
        <f>K18/(1+Inputs!$B$6)</f>
        <v>86960.16949</v>
      </c>
      <c r="M18" s="10">
        <f>(K18*Inputs!$B$49)/(1+Inputs!$B$6)</f>
        <v>869.6016949</v>
      </c>
      <c r="N18" s="10">
        <f>IF(C18=0,Inputs!$B$34,'Operating Costs'!$C$23*(1+Inputs!$B$19)^MAX(0,ROUNDUP(C18/12,0)-1))</f>
        <v>63913.72881</v>
      </c>
      <c r="O18" s="10">
        <f t="shared" si="3"/>
        <v>22176.83898</v>
      </c>
      <c r="P18" s="10">
        <f t="array" ref="P18">INDEX(Financing!$J$17:$J$79,A18+1)</f>
        <v>20881.22078</v>
      </c>
      <c r="Q18" s="10">
        <f t="array" ref="Q18">INDEX(Financing!$G$17:$G$79,A18+1)</f>
        <v>3509.780064</v>
      </c>
      <c r="R18" s="10">
        <f>IF(C18=0,0,Inputs!$B$18)</f>
        <v>6813</v>
      </c>
      <c r="S18" s="10">
        <f t="shared" si="4"/>
        <v>11854.05892</v>
      </c>
      <c r="T18" s="10">
        <f t="shared" si="10"/>
        <v>108858.2034</v>
      </c>
      <c r="U18" s="10">
        <f t="shared" si="5"/>
        <v>0</v>
      </c>
      <c r="V18" s="10">
        <f>U18*Inputs!$B$17</f>
        <v>0</v>
      </c>
      <c r="W18" s="10">
        <f t="shared" si="6"/>
        <v>97004.14447</v>
      </c>
      <c r="X18" s="10">
        <f t="shared" si="7"/>
        <v>1295.618202</v>
      </c>
      <c r="Y18" s="10">
        <f>IF(A18=Inputs!$B$63,'Startup &amp; Funding'!$B$16,0)</f>
        <v>0</v>
      </c>
      <c r="Z18" s="10">
        <f t="shared" si="11"/>
        <v>164172.424</v>
      </c>
      <c r="AA18" s="10">
        <f t="array" ref="AA18">INDEX(Financing!$E$17:$E$79,A18+1)+INDEX(Financing!$I$17:$I$79,A18+1)</f>
        <v>1105309.839</v>
      </c>
      <c r="AB18" s="50">
        <f t="shared" ref="AB18:AC18" si="23">AB17</f>
        <v>312.4663677</v>
      </c>
      <c r="AC18" s="50">
        <f t="shared" si="23"/>
        <v>424.0750126</v>
      </c>
      <c r="AD18" s="8" t="str">
        <f>IF(C18=1,"REOPEN",IF(A18=Inputs!$B$15,"DEBT START",IF(AND(C18&gt;0,MOD(C18,12)=0),"YEAR END","")))</f>
        <v/>
      </c>
    </row>
    <row r="19">
      <c r="A19" s="50">
        <f t="shared" si="9"/>
        <v>14</v>
      </c>
      <c r="B19" s="50" t="str">
        <f>IF(A19&lt;Inputs!$B$27,"BUILD","OPEN")</f>
        <v>OPEN</v>
      </c>
      <c r="C19" s="50">
        <f>IF(B19="OPEN",A19-Inputs!$B$27+1,0)</f>
        <v>12</v>
      </c>
      <c r="D19" s="50">
        <f>IF(C19=0,0,MIN(Inputs!$B$25,IF(C19=1,ROUND(Inputs!$B$24*Inputs!$B$28,0),IF(C19&lt;=12,ROUND(ROUND(Inputs!$B$24*Inputs!$B$28,0)+(Inputs!$B$70-ROUND(Inputs!$B$24*Inputs!$B$28,0))*(C19-1)/11,0),IF(C19&lt;=24,ROUND(Inputs!$B$70+(Inputs!$B$71-Inputs!$B$70)*(C19-12)/12,0),IF(C19&lt;=36,ROUND(Inputs!$B$71+(Inputs!$B$72-Inputs!$B$71)*(C19-24)/12,0),IF(C19&lt;=48,ROUND(Inputs!$B$72+(Inputs!$B$73-Inputs!$B$72)*(C19-36)/12,0),ROUND(Inputs!$B$73+(Inputs!$B$74-Inputs!$B$73)*MIN(C19-48,12)/12,0))))))))</f>
        <v>450</v>
      </c>
      <c r="E19" s="50">
        <f>IF(C19=0,0,IF(Inputs!$B$50=1,MIN(D19,MAX(0,Inputs!$B$57-Inputs!$B$54)),MIN(D19,Inputs!$B$57)))</f>
        <v>450</v>
      </c>
      <c r="F19" s="50">
        <f>IF(AND(C19&gt;=Inputs!$B$56,Inputs!$B$50=1),Inputs!$B$54,0)</f>
        <v>0</v>
      </c>
      <c r="G19" s="50">
        <f t="shared" si="1"/>
        <v>450</v>
      </c>
      <c r="H19" s="10">
        <f>Inputs!$B$44*(1+Inputs!$B$20)^MAX(0,ROUNDUP(C19/12,0)-1)</f>
        <v>223</v>
      </c>
      <c r="I19" s="10">
        <f>IF(C19=0,0,E19*H19+F19*Inputs!$B$55)</f>
        <v>100350</v>
      </c>
      <c r="J19" s="10">
        <f>IF(C19=0,0,Inputs!$B$47)</f>
        <v>6500</v>
      </c>
      <c r="K19" s="10">
        <f t="shared" si="2"/>
        <v>106850</v>
      </c>
      <c r="L19" s="10">
        <f>K19/(1+Inputs!$B$6)</f>
        <v>90550.84746</v>
      </c>
      <c r="M19" s="10">
        <f>(K19*Inputs!$B$49)/(1+Inputs!$B$6)</f>
        <v>905.5084746</v>
      </c>
      <c r="N19" s="10">
        <f>IF(C19=0,Inputs!$B$34,'Operating Costs'!$C$23*(1+Inputs!$B$19)^MAX(0,ROUNDUP(C19/12,0)-1))</f>
        <v>63913.72881</v>
      </c>
      <c r="O19" s="10">
        <f t="shared" si="3"/>
        <v>25731.61017</v>
      </c>
      <c r="P19" s="10">
        <f t="array" ref="P19">INDEX(Financing!$J$17:$J$79,A19+1)</f>
        <v>20881.22078</v>
      </c>
      <c r="Q19" s="10">
        <f t="array" ref="Q19">INDEX(Financing!$G$17:$G$79,A19+1)</f>
        <v>3456.851444</v>
      </c>
      <c r="R19" s="10">
        <f>IF(C19=0,0,Inputs!$B$18)</f>
        <v>6813</v>
      </c>
      <c r="S19" s="10">
        <f t="shared" si="4"/>
        <v>15461.75873</v>
      </c>
      <c r="T19" s="10">
        <f t="shared" si="10"/>
        <v>97004.14447</v>
      </c>
      <c r="U19" s="10">
        <f t="shared" si="5"/>
        <v>0</v>
      </c>
      <c r="V19" s="10">
        <f>U19*Inputs!$B$17</f>
        <v>0</v>
      </c>
      <c r="W19" s="10">
        <f t="shared" si="6"/>
        <v>81542.38574</v>
      </c>
      <c r="X19" s="10">
        <f t="shared" si="7"/>
        <v>4850.389388</v>
      </c>
      <c r="Y19" s="10">
        <f>IF(A19=Inputs!$B$63,'Startup &amp; Funding'!$B$16,0)</f>
        <v>0</v>
      </c>
      <c r="Z19" s="10">
        <f t="shared" si="11"/>
        <v>169022.8134</v>
      </c>
      <c r="AA19" s="10">
        <f t="array" ref="AA19">INDEX(Financing!$E$17:$E$79,A19+1)+INDEX(Financing!$I$17:$I$79,A19+1)</f>
        <v>1087885.469</v>
      </c>
      <c r="AB19" s="50">
        <f t="shared" ref="AB19:AC19" si="24">AB18</f>
        <v>312.4663677</v>
      </c>
      <c r="AC19" s="50">
        <f t="shared" si="24"/>
        <v>424.0750126</v>
      </c>
      <c r="AD19" s="8" t="str">
        <f>IF(C19=1,"REOPEN",IF(A19=Inputs!$B$15,"DEBT START",IF(AND(C19&gt;0,MOD(C19,12)=0),"YEAR END","")))</f>
        <v>YEAR END</v>
      </c>
    </row>
    <row r="20">
      <c r="A20" s="50">
        <f t="shared" si="9"/>
        <v>15</v>
      </c>
      <c r="B20" s="50" t="str">
        <f>IF(A20&lt;Inputs!$B$27,"BUILD","OPEN")</f>
        <v>OPEN</v>
      </c>
      <c r="C20" s="50">
        <f>IF(B20="OPEN",A20-Inputs!$B$27+1,0)</f>
        <v>13</v>
      </c>
      <c r="D20" s="50">
        <f>IF(C20=0,0,MIN(Inputs!$B$25,IF(C20=1,ROUND(Inputs!$B$24*Inputs!$B$28,0),IF(C20&lt;=12,ROUND(ROUND(Inputs!$B$24*Inputs!$B$28,0)+(Inputs!$B$70-ROUND(Inputs!$B$24*Inputs!$B$28,0))*(C20-1)/11,0),IF(C20&lt;=24,ROUND(Inputs!$B$70+(Inputs!$B$71-Inputs!$B$70)*(C20-12)/12,0),IF(C20&lt;=36,ROUND(Inputs!$B$71+(Inputs!$B$72-Inputs!$B$71)*(C20-24)/12,0),IF(C20&lt;=48,ROUND(Inputs!$B$72+(Inputs!$B$73-Inputs!$B$72)*(C20-36)/12,0),ROUND(Inputs!$B$73+(Inputs!$B$74-Inputs!$B$73)*MIN(C20-48,12)/12,0))))))))</f>
        <v>463</v>
      </c>
      <c r="E20" s="50">
        <f>IF(C20=0,0,IF(Inputs!$B$50=1,MIN(D20,MAX(0,Inputs!$B$57-Inputs!$B$54)),MIN(D20,Inputs!$B$57)))</f>
        <v>463</v>
      </c>
      <c r="F20" s="50">
        <f>IF(AND(C20&gt;=Inputs!$B$56,Inputs!$B$50=1),Inputs!$B$54,0)</f>
        <v>0</v>
      </c>
      <c r="G20" s="50">
        <f t="shared" si="1"/>
        <v>463</v>
      </c>
      <c r="H20" s="10">
        <f>Inputs!$B$44*(1+Inputs!$B$20)^MAX(0,ROUNDUP(C20/12,0)-1)</f>
        <v>223</v>
      </c>
      <c r="I20" s="10">
        <f>IF(C20=0,0,E20*H20+F20*Inputs!$B$55)</f>
        <v>103249</v>
      </c>
      <c r="J20" s="10">
        <f>IF(C20=0,0,Inputs!$B$47)</f>
        <v>6500</v>
      </c>
      <c r="K20" s="10">
        <f t="shared" si="2"/>
        <v>109749</v>
      </c>
      <c r="L20" s="10">
        <f>K20/(1+Inputs!$B$6)</f>
        <v>93007.62712</v>
      </c>
      <c r="M20" s="10">
        <f>(K20*Inputs!$B$49)/(1+Inputs!$B$6)</f>
        <v>930.0762712</v>
      </c>
      <c r="N20" s="10">
        <f>IF(C20=0,Inputs!$B$34,'Operating Costs'!$C$23*(1+Inputs!$B$19)^MAX(0,ROUNDUP(C20/12,0)-1))</f>
        <v>63913.72881</v>
      </c>
      <c r="O20" s="10">
        <f t="shared" si="3"/>
        <v>28163.82203</v>
      </c>
      <c r="P20" s="10">
        <f t="array" ref="P20">INDEX(Financing!$J$17:$J$79,A20+1)</f>
        <v>20881.22078</v>
      </c>
      <c r="Q20" s="10">
        <f t="array" ref="Q20">INDEX(Financing!$G$17:$G$79,A20+1)</f>
        <v>3403.713315</v>
      </c>
      <c r="R20" s="10">
        <f>IF(C20=0,0,Inputs!$B$18)</f>
        <v>6813</v>
      </c>
      <c r="S20" s="10">
        <f t="shared" si="4"/>
        <v>17947.10872</v>
      </c>
      <c r="T20" s="10">
        <f t="shared" si="10"/>
        <v>81542.38574</v>
      </c>
      <c r="U20" s="10">
        <f t="shared" si="5"/>
        <v>0</v>
      </c>
      <c r="V20" s="10">
        <f>U20*Inputs!$B$17</f>
        <v>0</v>
      </c>
      <c r="W20" s="10">
        <f t="shared" si="6"/>
        <v>63595.27703</v>
      </c>
      <c r="X20" s="10">
        <f t="shared" si="7"/>
        <v>7282.601253</v>
      </c>
      <c r="Y20" s="10">
        <f>IF(A20=Inputs!$B$63,'Startup &amp; Funding'!$B$16,0)</f>
        <v>0</v>
      </c>
      <c r="Z20" s="10">
        <f t="shared" si="11"/>
        <v>176305.4147</v>
      </c>
      <c r="AA20" s="10">
        <f t="array" ref="AA20">INDEX(Financing!$E$17:$E$79,A20+1)+INDEX(Financing!$I$17:$I$79,A20+1)</f>
        <v>1070407.962</v>
      </c>
      <c r="AB20" s="50">
        <f t="shared" ref="AB20:AC20" si="25">AB19</f>
        <v>312.4663677</v>
      </c>
      <c r="AC20" s="50">
        <f t="shared" si="25"/>
        <v>424.0750126</v>
      </c>
      <c r="AD20" s="8" t="str">
        <f>IF(C20=1,"REOPEN",IF(A20=Inputs!$B$15,"DEBT START",IF(AND(C20&gt;0,MOD(C20,12)=0),"YEAR END","")))</f>
        <v/>
      </c>
    </row>
    <row r="21" ht="15.75" customHeight="1">
      <c r="A21" s="50">
        <f t="shared" si="9"/>
        <v>16</v>
      </c>
      <c r="B21" s="50" t="str">
        <f>IF(A21&lt;Inputs!$B$27,"BUILD","OPEN")</f>
        <v>OPEN</v>
      </c>
      <c r="C21" s="50">
        <f>IF(B21="OPEN",A21-Inputs!$B$27+1,0)</f>
        <v>14</v>
      </c>
      <c r="D21" s="50">
        <f>IF(C21=0,0,MIN(Inputs!$B$25,IF(C21=1,ROUND(Inputs!$B$24*Inputs!$B$28,0),IF(C21&lt;=12,ROUND(ROUND(Inputs!$B$24*Inputs!$B$28,0)+(Inputs!$B$70-ROUND(Inputs!$B$24*Inputs!$B$28,0))*(C21-1)/11,0),IF(C21&lt;=24,ROUND(Inputs!$B$70+(Inputs!$B$71-Inputs!$B$70)*(C21-12)/12,0),IF(C21&lt;=36,ROUND(Inputs!$B$71+(Inputs!$B$72-Inputs!$B$71)*(C21-24)/12,0),IF(C21&lt;=48,ROUND(Inputs!$B$72+(Inputs!$B$73-Inputs!$B$72)*(C21-36)/12,0),ROUND(Inputs!$B$73+(Inputs!$B$74-Inputs!$B$73)*MIN(C21-48,12)/12,0))))))))</f>
        <v>475</v>
      </c>
      <c r="E21" s="50">
        <f>IF(C21=0,0,IF(Inputs!$B$50=1,MIN(D21,MAX(0,Inputs!$B$57-Inputs!$B$54)),MIN(D21,Inputs!$B$57)))</f>
        <v>475</v>
      </c>
      <c r="F21" s="50">
        <f>IF(AND(C21&gt;=Inputs!$B$56,Inputs!$B$50=1),Inputs!$B$54,0)</f>
        <v>0</v>
      </c>
      <c r="G21" s="50">
        <f t="shared" si="1"/>
        <v>475</v>
      </c>
      <c r="H21" s="10">
        <f>Inputs!$B$44*(1+Inputs!$B$20)^MAX(0,ROUNDUP(C21/12,0)-1)</f>
        <v>223</v>
      </c>
      <c r="I21" s="10">
        <f>IF(C21=0,0,E21*H21+F21*Inputs!$B$55)</f>
        <v>105925</v>
      </c>
      <c r="J21" s="10">
        <f>IF(C21=0,0,Inputs!$B$47)</f>
        <v>6500</v>
      </c>
      <c r="K21" s="10">
        <f t="shared" si="2"/>
        <v>112425</v>
      </c>
      <c r="L21" s="10">
        <f>K21/(1+Inputs!$B$6)</f>
        <v>95275.42373</v>
      </c>
      <c r="M21" s="10">
        <f>(K21*Inputs!$B$49)/(1+Inputs!$B$6)</f>
        <v>952.7542373</v>
      </c>
      <c r="N21" s="10">
        <f>IF(C21=0,Inputs!$B$34,'Operating Costs'!$C$23*(1+Inputs!$B$19)^MAX(0,ROUNDUP(C21/12,0)-1))</f>
        <v>63913.72881</v>
      </c>
      <c r="O21" s="10">
        <f t="shared" si="3"/>
        <v>30408.94068</v>
      </c>
      <c r="P21" s="10">
        <f t="array" ref="P21">INDEX(Financing!$J$17:$J$79,A21+1)</f>
        <v>20881.22078</v>
      </c>
      <c r="Q21" s="10">
        <f t="array" ref="Q21">INDEX(Financing!$G$17:$G$79,A21+1)</f>
        <v>3350.364848</v>
      </c>
      <c r="R21" s="10">
        <f>IF(C21=0,0,Inputs!$B$18)</f>
        <v>6813</v>
      </c>
      <c r="S21" s="10">
        <f t="shared" si="4"/>
        <v>20245.57583</v>
      </c>
      <c r="T21" s="10">
        <f t="shared" si="10"/>
        <v>63595.27703</v>
      </c>
      <c r="U21" s="10">
        <f t="shared" si="5"/>
        <v>0</v>
      </c>
      <c r="V21" s="10">
        <f>U21*Inputs!$B$17</f>
        <v>0</v>
      </c>
      <c r="W21" s="10">
        <f t="shared" si="6"/>
        <v>43349.7012</v>
      </c>
      <c r="X21" s="10">
        <f t="shared" si="7"/>
        <v>9527.719897</v>
      </c>
      <c r="Y21" s="10">
        <f>IF(A21=Inputs!$B$63,'Startup &amp; Funding'!$B$16,0)</f>
        <v>0</v>
      </c>
      <c r="Z21" s="10">
        <f t="shared" si="11"/>
        <v>185833.1346</v>
      </c>
      <c r="AA21" s="10">
        <f t="array" ref="AA21">INDEX(Financing!$E$17:$E$79,A21+1)+INDEX(Financing!$I$17:$I$79,A21+1)</f>
        <v>1052877.106</v>
      </c>
      <c r="AB21" s="50">
        <f t="shared" ref="AB21:AC21" si="26">AB20</f>
        <v>312.4663677</v>
      </c>
      <c r="AC21" s="50">
        <f t="shared" si="26"/>
        <v>424.0750126</v>
      </c>
      <c r="AD21" s="8" t="str">
        <f>IF(C21=1,"REOPEN",IF(A21=Inputs!$B$15,"DEBT START",IF(AND(C21&gt;0,MOD(C21,12)=0),"YEAR END","")))</f>
        <v/>
      </c>
    </row>
    <row r="22" ht="15.75" customHeight="1">
      <c r="A22" s="50">
        <f t="shared" si="9"/>
        <v>17</v>
      </c>
      <c r="B22" s="50" t="str">
        <f>IF(A22&lt;Inputs!$B$27,"BUILD","OPEN")</f>
        <v>OPEN</v>
      </c>
      <c r="C22" s="50">
        <f>IF(B22="OPEN",A22-Inputs!$B$27+1,0)</f>
        <v>15</v>
      </c>
      <c r="D22" s="50">
        <f>IF(C22=0,0,MIN(Inputs!$B$25,IF(C22=1,ROUND(Inputs!$B$24*Inputs!$B$28,0),IF(C22&lt;=12,ROUND(ROUND(Inputs!$B$24*Inputs!$B$28,0)+(Inputs!$B$70-ROUND(Inputs!$B$24*Inputs!$B$28,0))*(C22-1)/11,0),IF(C22&lt;=24,ROUND(Inputs!$B$70+(Inputs!$B$71-Inputs!$B$70)*(C22-12)/12,0),IF(C22&lt;=36,ROUND(Inputs!$B$71+(Inputs!$B$72-Inputs!$B$71)*(C22-24)/12,0),IF(C22&lt;=48,ROUND(Inputs!$B$72+(Inputs!$B$73-Inputs!$B$72)*(C22-36)/12,0),ROUND(Inputs!$B$73+(Inputs!$B$74-Inputs!$B$73)*MIN(C22-48,12)/12,0))))))))</f>
        <v>488</v>
      </c>
      <c r="E22" s="50">
        <f>IF(C22=0,0,IF(Inputs!$B$50=1,MIN(D22,MAX(0,Inputs!$B$57-Inputs!$B$54)),MIN(D22,Inputs!$B$57)))</f>
        <v>488</v>
      </c>
      <c r="F22" s="50">
        <f>IF(AND(C22&gt;=Inputs!$B$56,Inputs!$B$50=1),Inputs!$B$54,0)</f>
        <v>0</v>
      </c>
      <c r="G22" s="50">
        <f t="shared" si="1"/>
        <v>488</v>
      </c>
      <c r="H22" s="10">
        <f>Inputs!$B$44*(1+Inputs!$B$20)^MAX(0,ROUNDUP(C22/12,0)-1)</f>
        <v>223</v>
      </c>
      <c r="I22" s="10">
        <f>IF(C22=0,0,E22*H22+F22*Inputs!$B$55)</f>
        <v>108824</v>
      </c>
      <c r="J22" s="10">
        <f>IF(C22=0,0,Inputs!$B$47)</f>
        <v>6500</v>
      </c>
      <c r="K22" s="10">
        <f t="shared" si="2"/>
        <v>115324</v>
      </c>
      <c r="L22" s="10">
        <f>K22/(1+Inputs!$B$6)</f>
        <v>97732.20339</v>
      </c>
      <c r="M22" s="10">
        <f>(K22*Inputs!$B$49)/(1+Inputs!$B$6)</f>
        <v>977.3220339</v>
      </c>
      <c r="N22" s="10">
        <f>IF(C22=0,Inputs!$B$34,'Operating Costs'!$C$23*(1+Inputs!$B$19)^MAX(0,ROUNDUP(C22/12,0)-1))</f>
        <v>63913.72881</v>
      </c>
      <c r="O22" s="10">
        <f t="shared" si="3"/>
        <v>32841.15254</v>
      </c>
      <c r="P22" s="10">
        <f t="array" ref="P22">INDEX(Financing!$J$17:$J$79,A22+1)</f>
        <v>20881.22078</v>
      </c>
      <c r="Q22" s="10">
        <f t="array" ref="Q22">INDEX(Financing!$G$17:$G$79,A22+1)</f>
        <v>3296.80521</v>
      </c>
      <c r="R22" s="10">
        <f>IF(C22=0,0,Inputs!$B$18)</f>
        <v>6813</v>
      </c>
      <c r="S22" s="10">
        <f t="shared" si="4"/>
        <v>22731.34733</v>
      </c>
      <c r="T22" s="10">
        <f t="shared" si="10"/>
        <v>43349.7012</v>
      </c>
      <c r="U22" s="10">
        <f t="shared" si="5"/>
        <v>0</v>
      </c>
      <c r="V22" s="10">
        <f>U22*Inputs!$B$17</f>
        <v>0</v>
      </c>
      <c r="W22" s="10">
        <f t="shared" si="6"/>
        <v>20618.35386</v>
      </c>
      <c r="X22" s="10">
        <f t="shared" si="7"/>
        <v>11959.93176</v>
      </c>
      <c r="Y22" s="10">
        <f>IF(A22=Inputs!$B$63,'Startup &amp; Funding'!$B$16,0)</f>
        <v>0</v>
      </c>
      <c r="Z22" s="10">
        <f t="shared" si="11"/>
        <v>197793.0663</v>
      </c>
      <c r="AA22" s="10">
        <f t="array" ref="AA22">INDEX(Financing!$E$17:$E$79,A22+1)+INDEX(Financing!$I$17:$I$79,A22+1)</f>
        <v>1035292.69</v>
      </c>
      <c r="AB22" s="50">
        <f t="shared" ref="AB22:AC22" si="27">AB21</f>
        <v>312.4663677</v>
      </c>
      <c r="AC22" s="50">
        <f t="shared" si="27"/>
        <v>424.0750126</v>
      </c>
      <c r="AD22" s="8" t="str">
        <f>IF(C22=1,"REOPEN",IF(A22=Inputs!$B$15,"DEBT START",IF(AND(C22&gt;0,MOD(C22,12)=0),"YEAR END","")))</f>
        <v/>
      </c>
    </row>
    <row r="23" ht="15.75" customHeight="1">
      <c r="A23" s="50">
        <f t="shared" si="9"/>
        <v>18</v>
      </c>
      <c r="B23" s="50" t="str">
        <f>IF(A23&lt;Inputs!$B$27,"BUILD","OPEN")</f>
        <v>OPEN</v>
      </c>
      <c r="C23" s="50">
        <f>IF(B23="OPEN",A23-Inputs!$B$27+1,0)</f>
        <v>16</v>
      </c>
      <c r="D23" s="50">
        <f>IF(C23=0,0,MIN(Inputs!$B$25,IF(C23=1,ROUND(Inputs!$B$24*Inputs!$B$28,0),IF(C23&lt;=12,ROUND(ROUND(Inputs!$B$24*Inputs!$B$28,0)+(Inputs!$B$70-ROUND(Inputs!$B$24*Inputs!$B$28,0))*(C23-1)/11,0),IF(C23&lt;=24,ROUND(Inputs!$B$70+(Inputs!$B$71-Inputs!$B$70)*(C23-12)/12,0),IF(C23&lt;=36,ROUND(Inputs!$B$71+(Inputs!$B$72-Inputs!$B$71)*(C23-24)/12,0),IF(C23&lt;=48,ROUND(Inputs!$B$72+(Inputs!$B$73-Inputs!$B$72)*(C23-36)/12,0),ROUND(Inputs!$B$73+(Inputs!$B$74-Inputs!$B$73)*MIN(C23-48,12)/12,0))))))))</f>
        <v>500</v>
      </c>
      <c r="E23" s="50">
        <f>IF(C23=0,0,IF(Inputs!$B$50=1,MIN(D23,MAX(0,Inputs!$B$57-Inputs!$B$54)),MIN(D23,Inputs!$B$57)))</f>
        <v>500</v>
      </c>
      <c r="F23" s="50">
        <f>IF(AND(C23&gt;=Inputs!$B$56,Inputs!$B$50=1),Inputs!$B$54,0)</f>
        <v>0</v>
      </c>
      <c r="G23" s="50">
        <f t="shared" si="1"/>
        <v>500</v>
      </c>
      <c r="H23" s="10">
        <f>Inputs!$B$44*(1+Inputs!$B$20)^MAX(0,ROUNDUP(C23/12,0)-1)</f>
        <v>223</v>
      </c>
      <c r="I23" s="10">
        <f>IF(C23=0,0,E23*H23+F23*Inputs!$B$55)</f>
        <v>111500</v>
      </c>
      <c r="J23" s="10">
        <f>IF(C23=0,0,Inputs!$B$47)</f>
        <v>6500</v>
      </c>
      <c r="K23" s="10">
        <f t="shared" si="2"/>
        <v>118000</v>
      </c>
      <c r="L23" s="10">
        <f>K23/(1+Inputs!$B$6)</f>
        <v>100000</v>
      </c>
      <c r="M23" s="10">
        <f>(K23*Inputs!$B$49)/(1+Inputs!$B$6)</f>
        <v>1000</v>
      </c>
      <c r="N23" s="10">
        <f>IF(C23=0,Inputs!$B$34,'Operating Costs'!$C$23*(1+Inputs!$B$19)^MAX(0,ROUNDUP(C23/12,0)-1))</f>
        <v>63913.72881</v>
      </c>
      <c r="O23" s="10">
        <f t="shared" si="3"/>
        <v>35086.27119</v>
      </c>
      <c r="P23" s="10">
        <f t="array" ref="P23">INDEX(Financing!$J$17:$J$79,A23+1)</f>
        <v>20881.22078</v>
      </c>
      <c r="Q23" s="10">
        <f t="array" ref="Q23">INDEX(Financing!$G$17:$G$79,A23+1)</f>
        <v>3243.033565</v>
      </c>
      <c r="R23" s="10">
        <f>IF(C23=0,0,Inputs!$B$18)</f>
        <v>6813</v>
      </c>
      <c r="S23" s="10">
        <f t="shared" si="4"/>
        <v>25030.23762</v>
      </c>
      <c r="T23" s="10">
        <f t="shared" si="10"/>
        <v>20618.35386</v>
      </c>
      <c r="U23" s="10">
        <f t="shared" si="5"/>
        <v>4411.883756</v>
      </c>
      <c r="V23" s="10">
        <f>U23*Inputs!$B$17</f>
        <v>1014.733264</v>
      </c>
      <c r="W23" s="10">
        <f t="shared" si="6"/>
        <v>0</v>
      </c>
      <c r="X23" s="10">
        <f t="shared" si="7"/>
        <v>13190.31714</v>
      </c>
      <c r="Y23" s="10">
        <f>IF(A23=Inputs!$B$63,'Startup &amp; Funding'!$B$16,0)</f>
        <v>0</v>
      </c>
      <c r="Z23" s="10">
        <f t="shared" si="11"/>
        <v>210983.3835</v>
      </c>
      <c r="AA23" s="10">
        <f t="array" ref="AA23">INDEX(Financing!$E$17:$E$79,A23+1)+INDEX(Financing!$I$17:$I$79,A23+1)</f>
        <v>1017654.503</v>
      </c>
      <c r="AB23" s="50">
        <f t="shared" ref="AB23:AC23" si="28">AB22</f>
        <v>312.4663677</v>
      </c>
      <c r="AC23" s="50">
        <f t="shared" si="28"/>
        <v>424.0750126</v>
      </c>
      <c r="AD23" s="8" t="str">
        <f>IF(C23=1,"REOPEN",IF(A23=Inputs!$B$15,"DEBT START",IF(AND(C23&gt;0,MOD(C23,12)=0),"YEAR END","")))</f>
        <v/>
      </c>
    </row>
    <row r="24" ht="15.75" customHeight="1">
      <c r="A24" s="50">
        <f t="shared" si="9"/>
        <v>19</v>
      </c>
      <c r="B24" s="50" t="str">
        <f>IF(A24&lt;Inputs!$B$27,"BUILD","OPEN")</f>
        <v>OPEN</v>
      </c>
      <c r="C24" s="50">
        <f>IF(B24="OPEN",A24-Inputs!$B$27+1,0)</f>
        <v>17</v>
      </c>
      <c r="D24" s="50">
        <f>IF(C24=0,0,MIN(Inputs!$B$25,IF(C24=1,ROUND(Inputs!$B$24*Inputs!$B$28,0),IF(C24&lt;=12,ROUND(ROUND(Inputs!$B$24*Inputs!$B$28,0)+(Inputs!$B$70-ROUND(Inputs!$B$24*Inputs!$B$28,0))*(C24-1)/11,0),IF(C24&lt;=24,ROUND(Inputs!$B$70+(Inputs!$B$71-Inputs!$B$70)*(C24-12)/12,0),IF(C24&lt;=36,ROUND(Inputs!$B$71+(Inputs!$B$72-Inputs!$B$71)*(C24-24)/12,0),IF(C24&lt;=48,ROUND(Inputs!$B$72+(Inputs!$B$73-Inputs!$B$72)*(C24-36)/12,0),ROUND(Inputs!$B$73+(Inputs!$B$74-Inputs!$B$73)*MIN(C24-48,12)/12,0))))))))</f>
        <v>513</v>
      </c>
      <c r="E24" s="50">
        <f>IF(C24=0,0,IF(Inputs!$B$50=1,MIN(D24,MAX(0,Inputs!$B$57-Inputs!$B$54)),MIN(D24,Inputs!$B$57)))</f>
        <v>513</v>
      </c>
      <c r="F24" s="50">
        <f>IF(AND(C24&gt;=Inputs!$B$56,Inputs!$B$50=1),Inputs!$B$54,0)</f>
        <v>0</v>
      </c>
      <c r="G24" s="50">
        <f t="shared" si="1"/>
        <v>513</v>
      </c>
      <c r="H24" s="10">
        <f>Inputs!$B$44*(1+Inputs!$B$20)^MAX(0,ROUNDUP(C24/12,0)-1)</f>
        <v>223</v>
      </c>
      <c r="I24" s="10">
        <f>IF(C24=0,0,E24*H24+F24*Inputs!$B$55)</f>
        <v>114399</v>
      </c>
      <c r="J24" s="10">
        <f>IF(C24=0,0,Inputs!$B$47)</f>
        <v>6500</v>
      </c>
      <c r="K24" s="10">
        <f t="shared" si="2"/>
        <v>120899</v>
      </c>
      <c r="L24" s="10">
        <f>K24/(1+Inputs!$B$6)</f>
        <v>102456.7797</v>
      </c>
      <c r="M24" s="10">
        <f>(K24*Inputs!$B$49)/(1+Inputs!$B$6)</f>
        <v>1024.567797</v>
      </c>
      <c r="N24" s="10">
        <f>IF(C24=0,Inputs!$B$34,'Operating Costs'!$C$23*(1+Inputs!$B$19)^MAX(0,ROUNDUP(C24/12,0)-1))</f>
        <v>63913.72881</v>
      </c>
      <c r="O24" s="10">
        <f t="shared" si="3"/>
        <v>37518.48305</v>
      </c>
      <c r="P24" s="10">
        <f t="array" ref="P24">INDEX(Financing!$J$17:$J$79,A24+1)</f>
        <v>20881.22078</v>
      </c>
      <c r="Q24" s="10">
        <f t="array" ref="Q24">INDEX(Financing!$G$17:$G$79,A24+1)</f>
        <v>3189.049074</v>
      </c>
      <c r="R24" s="10">
        <f>IF(C24=0,0,Inputs!$B$18)</f>
        <v>6813</v>
      </c>
      <c r="S24" s="10">
        <f t="shared" si="4"/>
        <v>27516.43398</v>
      </c>
      <c r="T24" s="10">
        <f t="shared" si="10"/>
        <v>0</v>
      </c>
      <c r="U24" s="10">
        <f t="shared" si="5"/>
        <v>27516.43398</v>
      </c>
      <c r="V24" s="10">
        <f>U24*Inputs!$B$17</f>
        <v>6328.779815</v>
      </c>
      <c r="W24" s="10">
        <f t="shared" si="6"/>
        <v>0</v>
      </c>
      <c r="X24" s="10">
        <f t="shared" si="7"/>
        <v>10308.48246</v>
      </c>
      <c r="Y24" s="10">
        <f>IF(A24=Inputs!$B$63,'Startup &amp; Funding'!$B$16,0)</f>
        <v>0</v>
      </c>
      <c r="Z24" s="10">
        <f t="shared" si="11"/>
        <v>221291.8659</v>
      </c>
      <c r="AA24" s="10">
        <f t="array" ref="AA24">INDEX(Financing!$E$17:$E$79,A24+1)+INDEX(Financing!$I$17:$I$79,A24+1)</f>
        <v>999962.3313</v>
      </c>
      <c r="AB24" s="50">
        <f t="shared" ref="AB24:AC24" si="29">AB23</f>
        <v>312.4663677</v>
      </c>
      <c r="AC24" s="50">
        <f t="shared" si="29"/>
        <v>424.0750126</v>
      </c>
      <c r="AD24" s="8" t="str">
        <f>IF(C24=1,"REOPEN",IF(A24=Inputs!$B$15,"DEBT START",IF(AND(C24&gt;0,MOD(C24,12)=0),"YEAR END","")))</f>
        <v/>
      </c>
    </row>
    <row r="25" ht="15.75" customHeight="1">
      <c r="A25" s="50">
        <f t="shared" si="9"/>
        <v>20</v>
      </c>
      <c r="B25" s="50" t="str">
        <f>IF(A25&lt;Inputs!$B$27,"BUILD","OPEN")</f>
        <v>OPEN</v>
      </c>
      <c r="C25" s="50">
        <f>IF(B25="OPEN",A25-Inputs!$B$27+1,0)</f>
        <v>18</v>
      </c>
      <c r="D25" s="50">
        <f>IF(C25=0,0,MIN(Inputs!$B$25,IF(C25=1,ROUND(Inputs!$B$24*Inputs!$B$28,0),IF(C25&lt;=12,ROUND(ROUND(Inputs!$B$24*Inputs!$B$28,0)+(Inputs!$B$70-ROUND(Inputs!$B$24*Inputs!$B$28,0))*(C25-1)/11,0),IF(C25&lt;=24,ROUND(Inputs!$B$70+(Inputs!$B$71-Inputs!$B$70)*(C25-12)/12,0),IF(C25&lt;=36,ROUND(Inputs!$B$71+(Inputs!$B$72-Inputs!$B$71)*(C25-24)/12,0),IF(C25&lt;=48,ROUND(Inputs!$B$72+(Inputs!$B$73-Inputs!$B$72)*(C25-36)/12,0),ROUND(Inputs!$B$73+(Inputs!$B$74-Inputs!$B$73)*MIN(C25-48,12)/12,0))))))))</f>
        <v>525</v>
      </c>
      <c r="E25" s="50">
        <f>IF(C25=0,0,IF(Inputs!$B$50=1,MIN(D25,MAX(0,Inputs!$B$57-Inputs!$B$54)),MIN(D25,Inputs!$B$57)))</f>
        <v>525</v>
      </c>
      <c r="F25" s="50">
        <f>IF(AND(C25&gt;=Inputs!$B$56,Inputs!$B$50=1),Inputs!$B$54,0)</f>
        <v>0</v>
      </c>
      <c r="G25" s="50">
        <f t="shared" si="1"/>
        <v>525</v>
      </c>
      <c r="H25" s="10">
        <f>Inputs!$B$44*(1+Inputs!$B$20)^MAX(0,ROUNDUP(C25/12,0)-1)</f>
        <v>223</v>
      </c>
      <c r="I25" s="10">
        <f>IF(C25=0,0,E25*H25+F25*Inputs!$B$55)</f>
        <v>117075</v>
      </c>
      <c r="J25" s="10">
        <f>IF(C25=0,0,Inputs!$B$47)</f>
        <v>6500</v>
      </c>
      <c r="K25" s="10">
        <f t="shared" si="2"/>
        <v>123575</v>
      </c>
      <c r="L25" s="10">
        <f>K25/(1+Inputs!$B$6)</f>
        <v>104724.5763</v>
      </c>
      <c r="M25" s="10">
        <f>(K25*Inputs!$B$49)/(1+Inputs!$B$6)</f>
        <v>1047.245763</v>
      </c>
      <c r="N25" s="10">
        <f>IF(C25=0,Inputs!$B$34,'Operating Costs'!$C$23*(1+Inputs!$B$19)^MAX(0,ROUNDUP(C25/12,0)-1))</f>
        <v>63913.72881</v>
      </c>
      <c r="O25" s="10">
        <f t="shared" si="3"/>
        <v>39763.60169</v>
      </c>
      <c r="P25" s="10">
        <f t="array" ref="P25">INDEX(Financing!$J$17:$J$79,A25+1)</f>
        <v>20881.22078</v>
      </c>
      <c r="Q25" s="10">
        <f t="array" ref="Q25">INDEX(Financing!$G$17:$G$79,A25+1)</f>
        <v>3134.850895</v>
      </c>
      <c r="R25" s="10">
        <f>IF(C25=0,0,Inputs!$B$18)</f>
        <v>6813</v>
      </c>
      <c r="S25" s="10">
        <f t="shared" si="4"/>
        <v>29815.7508</v>
      </c>
      <c r="T25" s="10">
        <f t="shared" si="10"/>
        <v>0</v>
      </c>
      <c r="U25" s="10">
        <f t="shared" si="5"/>
        <v>29815.7508</v>
      </c>
      <c r="V25" s="10">
        <f>U25*Inputs!$B$17</f>
        <v>6857.622684</v>
      </c>
      <c r="W25" s="10">
        <f t="shared" si="6"/>
        <v>0</v>
      </c>
      <c r="X25" s="10">
        <f t="shared" si="7"/>
        <v>12024.75823</v>
      </c>
      <c r="Y25" s="10">
        <f>IF(A25=Inputs!$B$63,'Startup &amp; Funding'!$B$16,0)</f>
        <v>0</v>
      </c>
      <c r="Z25" s="10">
        <f t="shared" si="11"/>
        <v>233316.6242</v>
      </c>
      <c r="AA25" s="10">
        <f t="array" ref="AA25">INDEX(Financing!$E$17:$E$79,A25+1)+INDEX(Financing!$I$17:$I$79,A25+1)</f>
        <v>982215.9614</v>
      </c>
      <c r="AB25" s="50">
        <f t="shared" ref="AB25:AC25" si="30">AB24</f>
        <v>312.4663677</v>
      </c>
      <c r="AC25" s="50">
        <f t="shared" si="30"/>
        <v>424.0750126</v>
      </c>
      <c r="AD25" s="8" t="str">
        <f>IF(C25=1,"REOPEN",IF(A25=Inputs!$B$15,"DEBT START",IF(AND(C25&gt;0,MOD(C25,12)=0),"YEAR END","")))</f>
        <v/>
      </c>
    </row>
    <row r="26" ht="15.75" customHeight="1">
      <c r="A26" s="50">
        <f t="shared" si="9"/>
        <v>21</v>
      </c>
      <c r="B26" s="50" t="str">
        <f>IF(A26&lt;Inputs!$B$27,"BUILD","OPEN")</f>
        <v>OPEN</v>
      </c>
      <c r="C26" s="50">
        <f>IF(B26="OPEN",A26-Inputs!$B$27+1,0)</f>
        <v>19</v>
      </c>
      <c r="D26" s="50">
        <f>IF(C26=0,0,MIN(Inputs!$B$25,IF(C26=1,ROUND(Inputs!$B$24*Inputs!$B$28,0),IF(C26&lt;=12,ROUND(ROUND(Inputs!$B$24*Inputs!$B$28,0)+(Inputs!$B$70-ROUND(Inputs!$B$24*Inputs!$B$28,0))*(C26-1)/11,0),IF(C26&lt;=24,ROUND(Inputs!$B$70+(Inputs!$B$71-Inputs!$B$70)*(C26-12)/12,0),IF(C26&lt;=36,ROUND(Inputs!$B$71+(Inputs!$B$72-Inputs!$B$71)*(C26-24)/12,0),IF(C26&lt;=48,ROUND(Inputs!$B$72+(Inputs!$B$73-Inputs!$B$72)*(C26-36)/12,0),ROUND(Inputs!$B$73+(Inputs!$B$74-Inputs!$B$73)*MIN(C26-48,12)/12,0))))))))</f>
        <v>538</v>
      </c>
      <c r="E26" s="50">
        <f>IF(C26=0,0,IF(Inputs!$B$50=1,MIN(D26,MAX(0,Inputs!$B$57-Inputs!$B$54)),MIN(D26,Inputs!$B$57)))</f>
        <v>538</v>
      </c>
      <c r="F26" s="50">
        <f>IF(AND(C26&gt;=Inputs!$B$56,Inputs!$B$50=1),Inputs!$B$54,0)</f>
        <v>0</v>
      </c>
      <c r="G26" s="50">
        <f t="shared" si="1"/>
        <v>538</v>
      </c>
      <c r="H26" s="10">
        <f>Inputs!$B$44*(1+Inputs!$B$20)^MAX(0,ROUNDUP(C26/12,0)-1)</f>
        <v>223</v>
      </c>
      <c r="I26" s="10">
        <f>IF(C26=0,0,E26*H26+F26*Inputs!$B$55)</f>
        <v>119974</v>
      </c>
      <c r="J26" s="10">
        <f>IF(C26=0,0,Inputs!$B$47)</f>
        <v>6500</v>
      </c>
      <c r="K26" s="10">
        <f t="shared" si="2"/>
        <v>126474</v>
      </c>
      <c r="L26" s="10">
        <f>K26/(1+Inputs!$B$6)</f>
        <v>107181.3559</v>
      </c>
      <c r="M26" s="10">
        <f>(K26*Inputs!$B$49)/(1+Inputs!$B$6)</f>
        <v>1071.813559</v>
      </c>
      <c r="N26" s="10">
        <f>IF(C26=0,Inputs!$B$34,'Operating Costs'!$C$23*(1+Inputs!$B$19)^MAX(0,ROUNDUP(C26/12,0)-1))</f>
        <v>63913.72881</v>
      </c>
      <c r="O26" s="10">
        <f t="shared" si="3"/>
        <v>42195.81356</v>
      </c>
      <c r="P26" s="10">
        <f t="array" ref="P26">INDEX(Financing!$J$17:$J$79,A26+1)</f>
        <v>20881.22078</v>
      </c>
      <c r="Q26" s="10">
        <f t="array" ref="Q26">INDEX(Financing!$G$17:$G$79,A26+1)</f>
        <v>3080.43818</v>
      </c>
      <c r="R26" s="10">
        <f>IF(C26=0,0,Inputs!$B$18)</f>
        <v>6813</v>
      </c>
      <c r="S26" s="10">
        <f t="shared" si="4"/>
        <v>32302.37538</v>
      </c>
      <c r="T26" s="10">
        <f t="shared" si="10"/>
        <v>0</v>
      </c>
      <c r="U26" s="10">
        <f t="shared" si="5"/>
        <v>32302.37538</v>
      </c>
      <c r="V26" s="10">
        <f>U26*Inputs!$B$17</f>
        <v>7429.546337</v>
      </c>
      <c r="W26" s="10">
        <f t="shared" si="6"/>
        <v>0</v>
      </c>
      <c r="X26" s="10">
        <f t="shared" si="7"/>
        <v>13885.04644</v>
      </c>
      <c r="Y26" s="10">
        <f>IF(A26=Inputs!$B$63,'Startup &amp; Funding'!$B$16,0)</f>
        <v>0</v>
      </c>
      <c r="Z26" s="10">
        <f t="shared" si="11"/>
        <v>247201.6706</v>
      </c>
      <c r="AA26" s="10">
        <f t="array" ref="AA26">INDEX(Financing!$E$17:$E$79,A26+1)+INDEX(Financing!$I$17:$I$79,A26+1)</f>
        <v>964415.1788</v>
      </c>
      <c r="AB26" s="50">
        <f t="shared" ref="AB26:AC26" si="31">AB25</f>
        <v>312.4663677</v>
      </c>
      <c r="AC26" s="50">
        <f t="shared" si="31"/>
        <v>424.0750126</v>
      </c>
      <c r="AD26" s="8" t="str">
        <f>IF(C26=1,"REOPEN",IF(A26=Inputs!$B$15,"DEBT START",IF(AND(C26&gt;0,MOD(C26,12)=0),"YEAR END","")))</f>
        <v/>
      </c>
    </row>
    <row r="27" ht="15.75" customHeight="1">
      <c r="A27" s="50">
        <f t="shared" si="9"/>
        <v>22</v>
      </c>
      <c r="B27" s="50" t="str">
        <f>IF(A27&lt;Inputs!$B$27,"BUILD","OPEN")</f>
        <v>OPEN</v>
      </c>
      <c r="C27" s="50">
        <f>IF(B27="OPEN",A27-Inputs!$B$27+1,0)</f>
        <v>20</v>
      </c>
      <c r="D27" s="50">
        <f>IF(C27=0,0,MIN(Inputs!$B$25,IF(C27=1,ROUND(Inputs!$B$24*Inputs!$B$28,0),IF(C27&lt;=12,ROUND(ROUND(Inputs!$B$24*Inputs!$B$28,0)+(Inputs!$B$70-ROUND(Inputs!$B$24*Inputs!$B$28,0))*(C27-1)/11,0),IF(C27&lt;=24,ROUND(Inputs!$B$70+(Inputs!$B$71-Inputs!$B$70)*(C27-12)/12,0),IF(C27&lt;=36,ROUND(Inputs!$B$71+(Inputs!$B$72-Inputs!$B$71)*(C27-24)/12,0),IF(C27&lt;=48,ROUND(Inputs!$B$72+(Inputs!$B$73-Inputs!$B$72)*(C27-36)/12,0),ROUND(Inputs!$B$73+(Inputs!$B$74-Inputs!$B$73)*MIN(C27-48,12)/12,0))))))))</f>
        <v>550</v>
      </c>
      <c r="E27" s="50">
        <f>IF(C27=0,0,IF(Inputs!$B$50=1,MIN(D27,MAX(0,Inputs!$B$57-Inputs!$B$54)),MIN(D27,Inputs!$B$57)))</f>
        <v>550</v>
      </c>
      <c r="F27" s="50">
        <f>IF(AND(C27&gt;=Inputs!$B$56,Inputs!$B$50=1),Inputs!$B$54,0)</f>
        <v>0</v>
      </c>
      <c r="G27" s="50">
        <f t="shared" si="1"/>
        <v>550</v>
      </c>
      <c r="H27" s="10">
        <f>Inputs!$B$44*(1+Inputs!$B$20)^MAX(0,ROUNDUP(C27/12,0)-1)</f>
        <v>223</v>
      </c>
      <c r="I27" s="10">
        <f>IF(C27=0,0,E27*H27+F27*Inputs!$B$55)</f>
        <v>122650</v>
      </c>
      <c r="J27" s="10">
        <f>IF(C27=0,0,Inputs!$B$47)</f>
        <v>6500</v>
      </c>
      <c r="K27" s="10">
        <f t="shared" si="2"/>
        <v>129150</v>
      </c>
      <c r="L27" s="10">
        <f>K27/(1+Inputs!$B$6)</f>
        <v>109449.1525</v>
      </c>
      <c r="M27" s="10">
        <f>(K27*Inputs!$B$49)/(1+Inputs!$B$6)</f>
        <v>1094.491525</v>
      </c>
      <c r="N27" s="10">
        <f>IF(C27=0,Inputs!$B$34,'Operating Costs'!$C$23*(1+Inputs!$B$19)^MAX(0,ROUNDUP(C27/12,0)-1))</f>
        <v>63913.72881</v>
      </c>
      <c r="O27" s="10">
        <f t="shared" si="3"/>
        <v>44440.9322</v>
      </c>
      <c r="P27" s="10">
        <f t="array" ref="P27">INDEX(Financing!$J$17:$J$79,A27+1)</f>
        <v>20881.22078</v>
      </c>
      <c r="Q27" s="10">
        <f t="array" ref="Q27">INDEX(Financing!$G$17:$G$79,A27+1)</f>
        <v>3025.810083</v>
      </c>
      <c r="R27" s="10">
        <f>IF(C27=0,0,Inputs!$B$18)</f>
        <v>6813</v>
      </c>
      <c r="S27" s="10">
        <f t="shared" si="4"/>
        <v>34602.12212</v>
      </c>
      <c r="T27" s="10">
        <f t="shared" si="10"/>
        <v>0</v>
      </c>
      <c r="U27" s="10">
        <f t="shared" si="5"/>
        <v>34602.12212</v>
      </c>
      <c r="V27" s="10">
        <f>U27*Inputs!$B$17</f>
        <v>7958.488088</v>
      </c>
      <c r="W27" s="10">
        <f t="shared" si="6"/>
        <v>0</v>
      </c>
      <c r="X27" s="10">
        <f t="shared" si="7"/>
        <v>15601.22333</v>
      </c>
      <c r="Y27" s="10">
        <f>IF(A27=Inputs!$B$63,'Startup &amp; Funding'!$B$16,0)</f>
        <v>0</v>
      </c>
      <c r="Z27" s="10">
        <f t="shared" si="11"/>
        <v>262802.8939</v>
      </c>
      <c r="AA27" s="10">
        <f t="array" ref="AA27">INDEX(Financing!$E$17:$E$79,A27+1)+INDEX(Financing!$I$17:$I$79,A27+1)</f>
        <v>946559.7681</v>
      </c>
      <c r="AB27" s="50">
        <f t="shared" ref="AB27:AC27" si="32">AB26</f>
        <v>312.4663677</v>
      </c>
      <c r="AC27" s="50">
        <f t="shared" si="32"/>
        <v>424.0750126</v>
      </c>
      <c r="AD27" s="8" t="str">
        <f>IF(C27=1,"REOPEN",IF(A27=Inputs!$B$15,"DEBT START",IF(AND(C27&gt;0,MOD(C27,12)=0),"YEAR END","")))</f>
        <v/>
      </c>
    </row>
    <row r="28" ht="15.75" customHeight="1">
      <c r="A28" s="50">
        <f t="shared" si="9"/>
        <v>23</v>
      </c>
      <c r="B28" s="50" t="str">
        <f>IF(A28&lt;Inputs!$B$27,"BUILD","OPEN")</f>
        <v>OPEN</v>
      </c>
      <c r="C28" s="50">
        <f>IF(B28="OPEN",A28-Inputs!$B$27+1,0)</f>
        <v>21</v>
      </c>
      <c r="D28" s="50">
        <f>IF(C28=0,0,MIN(Inputs!$B$25,IF(C28=1,ROUND(Inputs!$B$24*Inputs!$B$28,0),IF(C28&lt;=12,ROUND(ROUND(Inputs!$B$24*Inputs!$B$28,0)+(Inputs!$B$70-ROUND(Inputs!$B$24*Inputs!$B$28,0))*(C28-1)/11,0),IF(C28&lt;=24,ROUND(Inputs!$B$70+(Inputs!$B$71-Inputs!$B$70)*(C28-12)/12,0),IF(C28&lt;=36,ROUND(Inputs!$B$71+(Inputs!$B$72-Inputs!$B$71)*(C28-24)/12,0),IF(C28&lt;=48,ROUND(Inputs!$B$72+(Inputs!$B$73-Inputs!$B$72)*(C28-36)/12,0),ROUND(Inputs!$B$73+(Inputs!$B$74-Inputs!$B$73)*MIN(C28-48,12)/12,0))))))))</f>
        <v>563</v>
      </c>
      <c r="E28" s="50">
        <f>IF(C28=0,0,IF(Inputs!$B$50=1,MIN(D28,MAX(0,Inputs!$B$57-Inputs!$B$54)),MIN(D28,Inputs!$B$57)))</f>
        <v>563</v>
      </c>
      <c r="F28" s="50">
        <f>IF(AND(C28&gt;=Inputs!$B$56,Inputs!$B$50=1),Inputs!$B$54,0)</f>
        <v>0</v>
      </c>
      <c r="G28" s="50">
        <f t="shared" si="1"/>
        <v>563</v>
      </c>
      <c r="H28" s="10">
        <f>Inputs!$B$44*(1+Inputs!$B$20)^MAX(0,ROUNDUP(C28/12,0)-1)</f>
        <v>223</v>
      </c>
      <c r="I28" s="10">
        <f>IF(C28=0,0,E28*H28+F28*Inputs!$B$55)</f>
        <v>125549</v>
      </c>
      <c r="J28" s="10">
        <f>IF(C28=0,0,Inputs!$B$47)</f>
        <v>6500</v>
      </c>
      <c r="K28" s="10">
        <f t="shared" si="2"/>
        <v>132049</v>
      </c>
      <c r="L28" s="10">
        <f>K28/(1+Inputs!$B$6)</f>
        <v>111905.9322</v>
      </c>
      <c r="M28" s="10">
        <f>(K28*Inputs!$B$49)/(1+Inputs!$B$6)</f>
        <v>1119.059322</v>
      </c>
      <c r="N28" s="10">
        <f>IF(C28=0,Inputs!$B$34,'Operating Costs'!$C$23*(1+Inputs!$B$19)^MAX(0,ROUNDUP(C28/12,0)-1))</f>
        <v>63913.72881</v>
      </c>
      <c r="O28" s="10">
        <f t="shared" si="3"/>
        <v>46873.14407</v>
      </c>
      <c r="P28" s="10">
        <f t="array" ref="P28">INDEX(Financing!$J$17:$J$79,A28+1)</f>
        <v>20881.22078</v>
      </c>
      <c r="Q28" s="10">
        <f t="array" ref="Q28">INDEX(Financing!$G$17:$G$79,A28+1)</f>
        <v>2970.965749</v>
      </c>
      <c r="R28" s="10">
        <f>IF(C28=0,0,Inputs!$B$18)</f>
        <v>6813</v>
      </c>
      <c r="S28" s="10">
        <f t="shared" si="4"/>
        <v>37089.17832</v>
      </c>
      <c r="T28" s="10">
        <f t="shared" si="10"/>
        <v>0</v>
      </c>
      <c r="U28" s="10">
        <f t="shared" si="5"/>
        <v>37089.17832</v>
      </c>
      <c r="V28" s="10">
        <f>U28*Inputs!$B$17</f>
        <v>8530.511013</v>
      </c>
      <c r="W28" s="10">
        <f t="shared" si="6"/>
        <v>0</v>
      </c>
      <c r="X28" s="10">
        <f t="shared" si="7"/>
        <v>17461.41227</v>
      </c>
      <c r="Y28" s="10">
        <f>IF(A28=Inputs!$B$63,'Startup &amp; Funding'!$B$16,0)</f>
        <v>0</v>
      </c>
      <c r="Z28" s="10">
        <f t="shared" si="11"/>
        <v>280264.3062</v>
      </c>
      <c r="AA28" s="10">
        <f t="array" ref="AA28">INDEX(Financing!$E$17:$E$79,A28+1)+INDEX(Financing!$I$17:$I$79,A28+1)</f>
        <v>928649.5131</v>
      </c>
      <c r="AB28" s="50">
        <f t="shared" ref="AB28:AC28" si="33">AB27</f>
        <v>312.4663677</v>
      </c>
      <c r="AC28" s="50">
        <f t="shared" si="33"/>
        <v>424.0750126</v>
      </c>
      <c r="AD28" s="8" t="str">
        <f>IF(C28=1,"REOPEN",IF(A28=Inputs!$B$15,"DEBT START",IF(AND(C28&gt;0,MOD(C28,12)=0),"YEAR END","")))</f>
        <v/>
      </c>
    </row>
    <row r="29" ht="15.75" customHeight="1">
      <c r="A29" s="50">
        <f t="shared" si="9"/>
        <v>24</v>
      </c>
      <c r="B29" s="50" t="str">
        <f>IF(A29&lt;Inputs!$B$27,"BUILD","OPEN")</f>
        <v>OPEN</v>
      </c>
      <c r="C29" s="50">
        <f>IF(B29="OPEN",A29-Inputs!$B$27+1,0)</f>
        <v>22</v>
      </c>
      <c r="D29" s="50">
        <f>IF(C29=0,0,MIN(Inputs!$B$25,IF(C29=1,ROUND(Inputs!$B$24*Inputs!$B$28,0),IF(C29&lt;=12,ROUND(ROUND(Inputs!$B$24*Inputs!$B$28,0)+(Inputs!$B$70-ROUND(Inputs!$B$24*Inputs!$B$28,0))*(C29-1)/11,0),IF(C29&lt;=24,ROUND(Inputs!$B$70+(Inputs!$B$71-Inputs!$B$70)*(C29-12)/12,0),IF(C29&lt;=36,ROUND(Inputs!$B$71+(Inputs!$B$72-Inputs!$B$71)*(C29-24)/12,0),IF(C29&lt;=48,ROUND(Inputs!$B$72+(Inputs!$B$73-Inputs!$B$72)*(C29-36)/12,0),ROUND(Inputs!$B$73+(Inputs!$B$74-Inputs!$B$73)*MIN(C29-48,12)/12,0))))))))</f>
        <v>575</v>
      </c>
      <c r="E29" s="50">
        <f>IF(C29=0,0,IF(Inputs!$B$50=1,MIN(D29,MAX(0,Inputs!$B$57-Inputs!$B$54)),MIN(D29,Inputs!$B$57)))</f>
        <v>575</v>
      </c>
      <c r="F29" s="50">
        <f>IF(AND(C29&gt;=Inputs!$B$56,Inputs!$B$50=1),Inputs!$B$54,0)</f>
        <v>0</v>
      </c>
      <c r="G29" s="50">
        <f t="shared" si="1"/>
        <v>575</v>
      </c>
      <c r="H29" s="10">
        <f>Inputs!$B$44*(1+Inputs!$B$20)^MAX(0,ROUNDUP(C29/12,0)-1)</f>
        <v>223</v>
      </c>
      <c r="I29" s="10">
        <f>IF(C29=0,0,E29*H29+F29*Inputs!$B$55)</f>
        <v>128225</v>
      </c>
      <c r="J29" s="10">
        <f>IF(C29=0,0,Inputs!$B$47)</f>
        <v>6500</v>
      </c>
      <c r="K29" s="10">
        <f t="shared" si="2"/>
        <v>134725</v>
      </c>
      <c r="L29" s="10">
        <f>K29/(1+Inputs!$B$6)</f>
        <v>114173.7288</v>
      </c>
      <c r="M29" s="10">
        <f>(K29*Inputs!$B$49)/(1+Inputs!$B$6)</f>
        <v>1141.737288</v>
      </c>
      <c r="N29" s="10">
        <f>IF(C29=0,Inputs!$B$34,'Operating Costs'!$C$23*(1+Inputs!$B$19)^MAX(0,ROUNDUP(C29/12,0)-1))</f>
        <v>63913.72881</v>
      </c>
      <c r="O29" s="10">
        <f t="shared" si="3"/>
        <v>49118.26271</v>
      </c>
      <c r="P29" s="10">
        <f t="array" ref="P29">INDEX(Financing!$J$17:$J$79,A29+1)</f>
        <v>20881.22078</v>
      </c>
      <c r="Q29" s="10">
        <f t="array" ref="Q29">INDEX(Financing!$G$17:$G$79,A29+1)</f>
        <v>2915.904323</v>
      </c>
      <c r="R29" s="10">
        <f>IF(C29=0,0,Inputs!$B$18)</f>
        <v>6813</v>
      </c>
      <c r="S29" s="10">
        <f t="shared" si="4"/>
        <v>39389.35839</v>
      </c>
      <c r="T29" s="10">
        <f t="shared" si="10"/>
        <v>0</v>
      </c>
      <c r="U29" s="10">
        <f t="shared" si="5"/>
        <v>39389.35839</v>
      </c>
      <c r="V29" s="10">
        <f>U29*Inputs!$B$17</f>
        <v>9059.55243</v>
      </c>
      <c r="W29" s="10">
        <f t="shared" si="6"/>
        <v>0</v>
      </c>
      <c r="X29" s="10">
        <f t="shared" si="7"/>
        <v>19177.4895</v>
      </c>
      <c r="Y29" s="10">
        <f>IF(A29=Inputs!$B$63,'Startup &amp; Funding'!$B$16,0)</f>
        <v>0</v>
      </c>
      <c r="Z29" s="10">
        <f t="shared" si="11"/>
        <v>299441.7957</v>
      </c>
      <c r="AA29" s="10">
        <f t="array" ref="AA29">INDEX(Financing!$E$17:$E$79,A29+1)+INDEX(Financing!$I$17:$I$79,A29+1)</f>
        <v>910684.1966</v>
      </c>
      <c r="AB29" s="50">
        <f t="shared" ref="AB29:AC29" si="34">AB28</f>
        <v>312.4663677</v>
      </c>
      <c r="AC29" s="50">
        <f t="shared" si="34"/>
        <v>424.0750126</v>
      </c>
      <c r="AD29" s="8" t="str">
        <f>IF(C29=1,"REOPEN",IF(A29=Inputs!$B$15,"DEBT START",IF(AND(C29&gt;0,MOD(C29,12)=0),"YEAR END","")))</f>
        <v/>
      </c>
    </row>
    <row r="30" ht="15.75" customHeight="1">
      <c r="A30" s="50">
        <f t="shared" si="9"/>
        <v>25</v>
      </c>
      <c r="B30" s="50" t="str">
        <f>IF(A30&lt;Inputs!$B$27,"BUILD","OPEN")</f>
        <v>OPEN</v>
      </c>
      <c r="C30" s="50">
        <f>IF(B30="OPEN",A30-Inputs!$B$27+1,0)</f>
        <v>23</v>
      </c>
      <c r="D30" s="50">
        <f>IF(C30=0,0,MIN(Inputs!$B$25,IF(C30=1,ROUND(Inputs!$B$24*Inputs!$B$28,0),IF(C30&lt;=12,ROUND(ROUND(Inputs!$B$24*Inputs!$B$28,0)+(Inputs!$B$70-ROUND(Inputs!$B$24*Inputs!$B$28,0))*(C30-1)/11,0),IF(C30&lt;=24,ROUND(Inputs!$B$70+(Inputs!$B$71-Inputs!$B$70)*(C30-12)/12,0),IF(C30&lt;=36,ROUND(Inputs!$B$71+(Inputs!$B$72-Inputs!$B$71)*(C30-24)/12,0),IF(C30&lt;=48,ROUND(Inputs!$B$72+(Inputs!$B$73-Inputs!$B$72)*(C30-36)/12,0),ROUND(Inputs!$B$73+(Inputs!$B$74-Inputs!$B$73)*MIN(C30-48,12)/12,0))))))))</f>
        <v>588</v>
      </c>
      <c r="E30" s="50">
        <f>IF(C30=0,0,IF(Inputs!$B$50=1,MIN(D30,MAX(0,Inputs!$B$57-Inputs!$B$54)),MIN(D30,Inputs!$B$57)))</f>
        <v>588</v>
      </c>
      <c r="F30" s="50">
        <f>IF(AND(C30&gt;=Inputs!$B$56,Inputs!$B$50=1),Inputs!$B$54,0)</f>
        <v>0</v>
      </c>
      <c r="G30" s="50">
        <f t="shared" si="1"/>
        <v>588</v>
      </c>
      <c r="H30" s="10">
        <f>Inputs!$B$44*(1+Inputs!$B$20)^MAX(0,ROUNDUP(C30/12,0)-1)</f>
        <v>223</v>
      </c>
      <c r="I30" s="10">
        <f>IF(C30=0,0,E30*H30+F30*Inputs!$B$55)</f>
        <v>131124</v>
      </c>
      <c r="J30" s="10">
        <f>IF(C30=0,0,Inputs!$B$47)</f>
        <v>6500</v>
      </c>
      <c r="K30" s="10">
        <f t="shared" si="2"/>
        <v>137624</v>
      </c>
      <c r="L30" s="10">
        <f>K30/(1+Inputs!$B$6)</f>
        <v>116630.5085</v>
      </c>
      <c r="M30" s="10">
        <f>(K30*Inputs!$B$49)/(1+Inputs!$B$6)</f>
        <v>1166.305085</v>
      </c>
      <c r="N30" s="10">
        <f>IF(C30=0,Inputs!$B$34,'Operating Costs'!$C$23*(1+Inputs!$B$19)^MAX(0,ROUNDUP(C30/12,0)-1))</f>
        <v>63913.72881</v>
      </c>
      <c r="O30" s="10">
        <f t="shared" si="3"/>
        <v>51550.47458</v>
      </c>
      <c r="P30" s="10">
        <f t="array" ref="P30">INDEX(Financing!$J$17:$J$79,A30+1)</f>
        <v>20881.22078</v>
      </c>
      <c r="Q30" s="10">
        <f t="array" ref="Q30">INDEX(Financing!$G$17:$G$79,A30+1)</f>
        <v>2860.624945</v>
      </c>
      <c r="R30" s="10">
        <f>IF(C30=0,0,Inputs!$B$18)</f>
        <v>6813</v>
      </c>
      <c r="S30" s="10">
        <f t="shared" si="4"/>
        <v>41876.84963</v>
      </c>
      <c r="T30" s="10">
        <f t="shared" si="10"/>
        <v>0</v>
      </c>
      <c r="U30" s="10">
        <f t="shared" si="5"/>
        <v>41876.84963</v>
      </c>
      <c r="V30" s="10">
        <f>U30*Inputs!$B$17</f>
        <v>9631.675415</v>
      </c>
      <c r="W30" s="10">
        <f t="shared" si="6"/>
        <v>0</v>
      </c>
      <c r="X30" s="10">
        <f t="shared" si="7"/>
        <v>21037.57838</v>
      </c>
      <c r="Y30" s="10">
        <f>IF(A30=Inputs!$B$63,'Startup &amp; Funding'!$B$16,0)</f>
        <v>0</v>
      </c>
      <c r="Z30" s="10">
        <f t="shared" si="11"/>
        <v>320479.3741</v>
      </c>
      <c r="AA30" s="10">
        <f t="array" ref="AA30">INDEX(Financing!$E$17:$E$79,A30+1)+INDEX(Financing!$I$17:$I$79,A30+1)</f>
        <v>892663.6008</v>
      </c>
      <c r="AB30" s="50">
        <f t="shared" ref="AB30:AC30" si="35">AB29</f>
        <v>312.4663677</v>
      </c>
      <c r="AC30" s="50">
        <f t="shared" si="35"/>
        <v>424.0750126</v>
      </c>
      <c r="AD30" s="8" t="str">
        <f>IF(C30=1,"REOPEN",IF(A30=Inputs!$B$15,"DEBT START",IF(AND(C30&gt;0,MOD(C30,12)=0),"YEAR END","")))</f>
        <v/>
      </c>
    </row>
    <row r="31" ht="15.75" customHeight="1">
      <c r="A31" s="50">
        <f t="shared" si="9"/>
        <v>26</v>
      </c>
      <c r="B31" s="50" t="str">
        <f>IF(A31&lt;Inputs!$B$27,"BUILD","OPEN")</f>
        <v>OPEN</v>
      </c>
      <c r="C31" s="50">
        <f>IF(B31="OPEN",A31-Inputs!$B$27+1,0)</f>
        <v>24</v>
      </c>
      <c r="D31" s="50">
        <f>IF(C31=0,0,MIN(Inputs!$B$25,IF(C31=1,ROUND(Inputs!$B$24*Inputs!$B$28,0),IF(C31&lt;=12,ROUND(ROUND(Inputs!$B$24*Inputs!$B$28,0)+(Inputs!$B$70-ROUND(Inputs!$B$24*Inputs!$B$28,0))*(C31-1)/11,0),IF(C31&lt;=24,ROUND(Inputs!$B$70+(Inputs!$B$71-Inputs!$B$70)*(C31-12)/12,0),IF(C31&lt;=36,ROUND(Inputs!$B$71+(Inputs!$B$72-Inputs!$B$71)*(C31-24)/12,0),IF(C31&lt;=48,ROUND(Inputs!$B$72+(Inputs!$B$73-Inputs!$B$72)*(C31-36)/12,0),ROUND(Inputs!$B$73+(Inputs!$B$74-Inputs!$B$73)*MIN(C31-48,12)/12,0))))))))</f>
        <v>600</v>
      </c>
      <c r="E31" s="50">
        <f>IF(C31=0,0,IF(Inputs!$B$50=1,MIN(D31,MAX(0,Inputs!$B$57-Inputs!$B$54)),MIN(D31,Inputs!$B$57)))</f>
        <v>600</v>
      </c>
      <c r="F31" s="50">
        <f>IF(AND(C31&gt;=Inputs!$B$56,Inputs!$B$50=1),Inputs!$B$54,0)</f>
        <v>0</v>
      </c>
      <c r="G31" s="50">
        <f t="shared" si="1"/>
        <v>600</v>
      </c>
      <c r="H31" s="10">
        <f>Inputs!$B$44*(1+Inputs!$B$20)^MAX(0,ROUNDUP(C31/12,0)-1)</f>
        <v>223</v>
      </c>
      <c r="I31" s="10">
        <f>IF(C31=0,0,E31*H31+F31*Inputs!$B$55)</f>
        <v>133800</v>
      </c>
      <c r="J31" s="10">
        <f>IF(C31=0,0,Inputs!$B$47)</f>
        <v>6500</v>
      </c>
      <c r="K31" s="10">
        <f t="shared" si="2"/>
        <v>140300</v>
      </c>
      <c r="L31" s="10">
        <f>K31/(1+Inputs!$B$6)</f>
        <v>118898.3051</v>
      </c>
      <c r="M31" s="10">
        <f>(K31*Inputs!$B$49)/(1+Inputs!$B$6)</f>
        <v>1188.983051</v>
      </c>
      <c r="N31" s="10">
        <f>IF(C31=0,Inputs!$B$34,'Operating Costs'!$C$23*(1+Inputs!$B$19)^MAX(0,ROUNDUP(C31/12,0)-1))</f>
        <v>63913.72881</v>
      </c>
      <c r="O31" s="10">
        <f t="shared" si="3"/>
        <v>53795.59322</v>
      </c>
      <c r="P31" s="10">
        <f t="array" ref="P31">INDEX(Financing!$J$17:$J$79,A31+1)</f>
        <v>20881.22078</v>
      </c>
      <c r="Q31" s="10">
        <f t="array" ref="Q31">INDEX(Financing!$G$17:$G$79,A31+1)</f>
        <v>2805.126753</v>
      </c>
      <c r="R31" s="10">
        <f>IF(C31=0,0,Inputs!$B$18)</f>
        <v>6813</v>
      </c>
      <c r="S31" s="10">
        <f t="shared" si="4"/>
        <v>44177.46647</v>
      </c>
      <c r="T31" s="10">
        <f t="shared" si="10"/>
        <v>0</v>
      </c>
      <c r="U31" s="10">
        <f t="shared" si="5"/>
        <v>44177.46647</v>
      </c>
      <c r="V31" s="10">
        <f>U31*Inputs!$B$17</f>
        <v>10160.81729</v>
      </c>
      <c r="W31" s="10">
        <f t="shared" si="6"/>
        <v>0</v>
      </c>
      <c r="X31" s="10">
        <f t="shared" si="7"/>
        <v>22753.55515</v>
      </c>
      <c r="Y31" s="10">
        <f>IF(A31=Inputs!$B$63,'Startup &amp; Funding'!$B$16,0)</f>
        <v>0</v>
      </c>
      <c r="Z31" s="10">
        <f t="shared" si="11"/>
        <v>343232.9292</v>
      </c>
      <c r="AA31" s="10">
        <f t="array" ref="AA31">INDEX(Financing!$E$17:$E$79,A31+1)+INDEX(Financing!$I$17:$I$79,A31+1)</f>
        <v>874587.5067</v>
      </c>
      <c r="AB31" s="50">
        <f t="shared" ref="AB31:AC31" si="36">AB30</f>
        <v>312.4663677</v>
      </c>
      <c r="AC31" s="50">
        <f t="shared" si="36"/>
        <v>424.0750126</v>
      </c>
      <c r="AD31" s="8" t="str">
        <f>IF(C31=1,"REOPEN",IF(A31=Inputs!$B$15,"DEBT START",IF(AND(C31&gt;0,MOD(C31,12)=0),"YEAR END","")))</f>
        <v>YEAR END</v>
      </c>
    </row>
    <row r="32" ht="15.75" customHeight="1">
      <c r="A32" s="50">
        <f t="shared" si="9"/>
        <v>27</v>
      </c>
      <c r="B32" s="50" t="str">
        <f>IF(A32&lt;Inputs!$B$27,"BUILD","OPEN")</f>
        <v>OPEN</v>
      </c>
      <c r="C32" s="50">
        <f>IF(B32="OPEN",A32-Inputs!$B$27+1,0)</f>
        <v>25</v>
      </c>
      <c r="D32" s="50">
        <f>IF(C32=0,0,MIN(Inputs!$B$25,IF(C32=1,ROUND(Inputs!$B$24*Inputs!$B$28,0),IF(C32&lt;=12,ROUND(ROUND(Inputs!$B$24*Inputs!$B$28,0)+(Inputs!$B$70-ROUND(Inputs!$B$24*Inputs!$B$28,0))*(C32-1)/11,0),IF(C32&lt;=24,ROUND(Inputs!$B$70+(Inputs!$B$71-Inputs!$B$70)*(C32-12)/12,0),IF(C32&lt;=36,ROUND(Inputs!$B$71+(Inputs!$B$72-Inputs!$B$71)*(C32-24)/12,0),IF(C32&lt;=48,ROUND(Inputs!$B$72+(Inputs!$B$73-Inputs!$B$72)*(C32-36)/12,0),ROUND(Inputs!$B$73+(Inputs!$B$74-Inputs!$B$73)*MIN(C32-48,12)/12,0))))))))</f>
        <v>610</v>
      </c>
      <c r="E32" s="50">
        <f>IF(C32=0,0,IF(Inputs!$B$50=1,MIN(D32,MAX(0,Inputs!$B$57-Inputs!$B$54)),MIN(D32,Inputs!$B$57)))</f>
        <v>610</v>
      </c>
      <c r="F32" s="50">
        <f>IF(AND(C32&gt;=Inputs!$B$56,Inputs!$B$50=1),Inputs!$B$54,0)</f>
        <v>0</v>
      </c>
      <c r="G32" s="50">
        <f t="shared" si="1"/>
        <v>610</v>
      </c>
      <c r="H32" s="10">
        <f>Inputs!$B$44*(1+Inputs!$B$20)^MAX(0,ROUNDUP(C32/12,0)-1)</f>
        <v>223</v>
      </c>
      <c r="I32" s="10">
        <f>IF(C32=0,0,E32*H32+F32*Inputs!$B$55)</f>
        <v>136030</v>
      </c>
      <c r="J32" s="10">
        <f>IF(C32=0,0,Inputs!$B$47)</f>
        <v>6500</v>
      </c>
      <c r="K32" s="10">
        <f t="shared" si="2"/>
        <v>142530</v>
      </c>
      <c r="L32" s="10">
        <f>K32/(1+Inputs!$B$6)</f>
        <v>120788.1356</v>
      </c>
      <c r="M32" s="10">
        <f>(K32*Inputs!$B$49)/(1+Inputs!$B$6)</f>
        <v>1207.881356</v>
      </c>
      <c r="N32" s="10">
        <f>IF(C32=0,Inputs!$B$34,'Operating Costs'!$C$23*(1+Inputs!$B$19)^MAX(0,ROUNDUP(C32/12,0)-1))</f>
        <v>63913.72881</v>
      </c>
      <c r="O32" s="10">
        <f t="shared" si="3"/>
        <v>55666.52542</v>
      </c>
      <c r="P32" s="10">
        <f t="array" ref="P32">INDEX(Financing!$J$17:$J$79,A32+1)</f>
        <v>20881.22078</v>
      </c>
      <c r="Q32" s="10">
        <f t="array" ref="Q32">INDEX(Financing!$G$17:$G$79,A32+1)</f>
        <v>2749.408881</v>
      </c>
      <c r="R32" s="10">
        <f>IF(C32=0,0,Inputs!$B$18)</f>
        <v>6813</v>
      </c>
      <c r="S32" s="10">
        <f t="shared" si="4"/>
        <v>46104.11654</v>
      </c>
      <c r="T32" s="10">
        <f t="shared" si="10"/>
        <v>0</v>
      </c>
      <c r="U32" s="10">
        <f t="shared" si="5"/>
        <v>46104.11654</v>
      </c>
      <c r="V32" s="10">
        <f>U32*Inputs!$B$17</f>
        <v>10603.9468</v>
      </c>
      <c r="W32" s="10">
        <f t="shared" si="6"/>
        <v>0</v>
      </c>
      <c r="X32" s="10">
        <f t="shared" si="7"/>
        <v>24181.35784</v>
      </c>
      <c r="Y32" s="10">
        <f>IF(A32=Inputs!$B$63,'Startup &amp; Funding'!$B$16,0)</f>
        <v>0</v>
      </c>
      <c r="Z32" s="10">
        <f t="shared" si="11"/>
        <v>367414.2871</v>
      </c>
      <c r="AA32" s="10">
        <f t="array" ref="AA32">INDEX(Financing!$E$17:$E$79,A32+1)+INDEX(Financing!$I$17:$I$79,A32+1)</f>
        <v>856455.6948</v>
      </c>
      <c r="AB32" s="50">
        <f t="shared" ref="AB32:AC32" si="37">AB31</f>
        <v>312.4663677</v>
      </c>
      <c r="AC32" s="50">
        <f t="shared" si="37"/>
        <v>424.0750126</v>
      </c>
      <c r="AD32" s="8" t="str">
        <f>IF(C32=1,"REOPEN",IF(A32=Inputs!$B$15,"DEBT START",IF(AND(C32&gt;0,MOD(C32,12)=0),"YEAR END","")))</f>
        <v/>
      </c>
    </row>
    <row r="33" ht="15.75" customHeight="1">
      <c r="A33" s="50">
        <f t="shared" si="9"/>
        <v>28</v>
      </c>
      <c r="B33" s="50" t="str">
        <f>IF(A33&lt;Inputs!$B$27,"BUILD","OPEN")</f>
        <v>OPEN</v>
      </c>
      <c r="C33" s="50">
        <f>IF(B33="OPEN",A33-Inputs!$B$27+1,0)</f>
        <v>26</v>
      </c>
      <c r="D33" s="50">
        <f>IF(C33=0,0,MIN(Inputs!$B$25,IF(C33=1,ROUND(Inputs!$B$24*Inputs!$B$28,0),IF(C33&lt;=12,ROUND(ROUND(Inputs!$B$24*Inputs!$B$28,0)+(Inputs!$B$70-ROUND(Inputs!$B$24*Inputs!$B$28,0))*(C33-1)/11,0),IF(C33&lt;=24,ROUND(Inputs!$B$70+(Inputs!$B$71-Inputs!$B$70)*(C33-12)/12,0),IF(C33&lt;=36,ROUND(Inputs!$B$71+(Inputs!$B$72-Inputs!$B$71)*(C33-24)/12,0),IF(C33&lt;=48,ROUND(Inputs!$B$72+(Inputs!$B$73-Inputs!$B$72)*(C33-36)/12,0),ROUND(Inputs!$B$73+(Inputs!$B$74-Inputs!$B$73)*MIN(C33-48,12)/12,0))))))))</f>
        <v>621</v>
      </c>
      <c r="E33" s="50">
        <f>IF(C33=0,0,IF(Inputs!$B$50=1,MIN(D33,MAX(0,Inputs!$B$57-Inputs!$B$54)),MIN(D33,Inputs!$B$57)))</f>
        <v>621</v>
      </c>
      <c r="F33" s="50">
        <f>IF(AND(C33&gt;=Inputs!$B$56,Inputs!$B$50=1),Inputs!$B$54,0)</f>
        <v>0</v>
      </c>
      <c r="G33" s="50">
        <f t="shared" si="1"/>
        <v>621</v>
      </c>
      <c r="H33" s="10">
        <f>Inputs!$B$44*(1+Inputs!$B$20)^MAX(0,ROUNDUP(C33/12,0)-1)</f>
        <v>223</v>
      </c>
      <c r="I33" s="10">
        <f>IF(C33=0,0,E33*H33+F33*Inputs!$B$55)</f>
        <v>138483</v>
      </c>
      <c r="J33" s="10">
        <f>IF(C33=0,0,Inputs!$B$47)</f>
        <v>6500</v>
      </c>
      <c r="K33" s="10">
        <f t="shared" si="2"/>
        <v>144983</v>
      </c>
      <c r="L33" s="10">
        <f>K33/(1+Inputs!$B$6)</f>
        <v>122866.9492</v>
      </c>
      <c r="M33" s="10">
        <f>(K33*Inputs!$B$49)/(1+Inputs!$B$6)</f>
        <v>1228.669492</v>
      </c>
      <c r="N33" s="10">
        <f>IF(C33=0,Inputs!$B$34,'Operating Costs'!$C$23*(1+Inputs!$B$19)^MAX(0,ROUNDUP(C33/12,0)-1))</f>
        <v>63913.72881</v>
      </c>
      <c r="O33" s="10">
        <f t="shared" si="3"/>
        <v>57724.55085</v>
      </c>
      <c r="P33" s="10">
        <f t="array" ref="P33">INDEX(Financing!$J$17:$J$79,A33+1)</f>
        <v>20881.22078</v>
      </c>
      <c r="Q33" s="10">
        <f t="array" ref="Q33">INDEX(Financing!$G$17:$G$79,A33+1)</f>
        <v>2693.470459</v>
      </c>
      <c r="R33" s="10">
        <f>IF(C33=0,0,Inputs!$B$18)</f>
        <v>6813</v>
      </c>
      <c r="S33" s="10">
        <f t="shared" si="4"/>
        <v>48218.08039</v>
      </c>
      <c r="T33" s="10">
        <f t="shared" si="10"/>
        <v>0</v>
      </c>
      <c r="U33" s="10">
        <f t="shared" si="5"/>
        <v>48218.08039</v>
      </c>
      <c r="V33" s="10">
        <f>U33*Inputs!$B$17</f>
        <v>11090.15849</v>
      </c>
      <c r="W33" s="10">
        <f t="shared" si="6"/>
        <v>0</v>
      </c>
      <c r="X33" s="10">
        <f t="shared" si="7"/>
        <v>25753.17158</v>
      </c>
      <c r="Y33" s="10">
        <f>IF(A33=Inputs!$B$63,'Startup &amp; Funding'!$B$16,0)</f>
        <v>0</v>
      </c>
      <c r="Z33" s="10">
        <f t="shared" si="11"/>
        <v>393167.4587</v>
      </c>
      <c r="AA33" s="10">
        <f t="array" ref="AA33">INDEX(Financing!$E$17:$E$79,A33+1)+INDEX(Financing!$I$17:$I$79,A33+1)</f>
        <v>838267.9445</v>
      </c>
      <c r="AB33" s="50">
        <f t="shared" ref="AB33:AC33" si="38">AB32</f>
        <v>312.4663677</v>
      </c>
      <c r="AC33" s="50">
        <f t="shared" si="38"/>
        <v>424.0750126</v>
      </c>
      <c r="AD33" s="8" t="str">
        <f>IF(C33=1,"REOPEN",IF(A33=Inputs!$B$15,"DEBT START",IF(AND(C33&gt;0,MOD(C33,12)=0),"YEAR END","")))</f>
        <v/>
      </c>
    </row>
    <row r="34" ht="15.75" customHeight="1">
      <c r="A34" s="50">
        <f t="shared" si="9"/>
        <v>29</v>
      </c>
      <c r="B34" s="50" t="str">
        <f>IF(A34&lt;Inputs!$B$27,"BUILD","OPEN")</f>
        <v>OPEN</v>
      </c>
      <c r="C34" s="50">
        <f>IF(B34="OPEN",A34-Inputs!$B$27+1,0)</f>
        <v>27</v>
      </c>
      <c r="D34" s="50">
        <f>IF(C34=0,0,MIN(Inputs!$B$25,IF(C34=1,ROUND(Inputs!$B$24*Inputs!$B$28,0),IF(C34&lt;=12,ROUND(ROUND(Inputs!$B$24*Inputs!$B$28,0)+(Inputs!$B$70-ROUND(Inputs!$B$24*Inputs!$B$28,0))*(C34-1)/11,0),IF(C34&lt;=24,ROUND(Inputs!$B$70+(Inputs!$B$71-Inputs!$B$70)*(C34-12)/12,0),IF(C34&lt;=36,ROUND(Inputs!$B$71+(Inputs!$B$72-Inputs!$B$71)*(C34-24)/12,0),IF(C34&lt;=48,ROUND(Inputs!$B$72+(Inputs!$B$73-Inputs!$B$72)*(C34-36)/12,0),ROUND(Inputs!$B$73+(Inputs!$B$74-Inputs!$B$73)*MIN(C34-48,12)/12,0))))))))</f>
        <v>631</v>
      </c>
      <c r="E34" s="50">
        <f>IF(C34=0,0,IF(Inputs!$B$50=1,MIN(D34,MAX(0,Inputs!$B$57-Inputs!$B$54)),MIN(D34,Inputs!$B$57)))</f>
        <v>631</v>
      </c>
      <c r="F34" s="50">
        <f>IF(AND(C34&gt;=Inputs!$B$56,Inputs!$B$50=1),Inputs!$B$54,0)</f>
        <v>0</v>
      </c>
      <c r="G34" s="50">
        <f t="shared" si="1"/>
        <v>631</v>
      </c>
      <c r="H34" s="10">
        <f>Inputs!$B$44*(1+Inputs!$B$20)^MAX(0,ROUNDUP(C34/12,0)-1)</f>
        <v>223</v>
      </c>
      <c r="I34" s="10">
        <f>IF(C34=0,0,E34*H34+F34*Inputs!$B$55)</f>
        <v>140713</v>
      </c>
      <c r="J34" s="10">
        <f>IF(C34=0,0,Inputs!$B$47)</f>
        <v>6500</v>
      </c>
      <c r="K34" s="10">
        <f t="shared" si="2"/>
        <v>147213</v>
      </c>
      <c r="L34" s="10">
        <f>K34/(1+Inputs!$B$6)</f>
        <v>124756.7797</v>
      </c>
      <c r="M34" s="10">
        <f>(K34*Inputs!$B$49)/(1+Inputs!$B$6)</f>
        <v>1247.567797</v>
      </c>
      <c r="N34" s="10">
        <f>IF(C34=0,Inputs!$B$34,'Operating Costs'!$C$23*(1+Inputs!$B$19)^MAX(0,ROUNDUP(C34/12,0)-1))</f>
        <v>63913.72881</v>
      </c>
      <c r="O34" s="10">
        <f t="shared" si="3"/>
        <v>59595.48305</v>
      </c>
      <c r="P34" s="10">
        <f t="array" ref="P34">INDEX(Financing!$J$17:$J$79,A34+1)</f>
        <v>20881.22078</v>
      </c>
      <c r="Q34" s="10">
        <f t="array" ref="Q34">INDEX(Financing!$G$17:$G$79,A34+1)</f>
        <v>2637.310614</v>
      </c>
      <c r="R34" s="10">
        <f>IF(C34=0,0,Inputs!$B$18)</f>
        <v>6813</v>
      </c>
      <c r="S34" s="10">
        <f t="shared" si="4"/>
        <v>50145.17244</v>
      </c>
      <c r="T34" s="10">
        <f t="shared" si="10"/>
        <v>0</v>
      </c>
      <c r="U34" s="10">
        <f t="shared" si="5"/>
        <v>50145.17244</v>
      </c>
      <c r="V34" s="10">
        <f>U34*Inputs!$B$17</f>
        <v>11533.38966</v>
      </c>
      <c r="W34" s="10">
        <f t="shared" si="6"/>
        <v>0</v>
      </c>
      <c r="X34" s="10">
        <f t="shared" si="7"/>
        <v>27180.87261</v>
      </c>
      <c r="Y34" s="10">
        <f>IF(A34=Inputs!$B$63,'Startup &amp; Funding'!$B$16,0)</f>
        <v>0</v>
      </c>
      <c r="Z34" s="10">
        <f t="shared" si="11"/>
        <v>420348.3313</v>
      </c>
      <c r="AA34" s="10">
        <f t="array" ref="AA34">INDEX(Financing!$E$17:$E$79,A34+1)+INDEX(Financing!$I$17:$I$79,A34+1)</f>
        <v>820024.0343</v>
      </c>
      <c r="AB34" s="50">
        <f t="shared" ref="AB34:AC34" si="39">AB33</f>
        <v>312.4663677</v>
      </c>
      <c r="AC34" s="50">
        <f t="shared" si="39"/>
        <v>424.0750126</v>
      </c>
      <c r="AD34" s="8" t="str">
        <f>IF(C34=1,"REOPEN",IF(A34=Inputs!$B$15,"DEBT START",IF(AND(C34&gt;0,MOD(C34,12)=0),"YEAR END","")))</f>
        <v/>
      </c>
    </row>
    <row r="35" ht="15.75" customHeight="1">
      <c r="A35" s="50">
        <f t="shared" si="9"/>
        <v>30</v>
      </c>
      <c r="B35" s="50" t="str">
        <f>IF(A35&lt;Inputs!$B$27,"BUILD","OPEN")</f>
        <v>OPEN</v>
      </c>
      <c r="C35" s="50">
        <f>IF(B35="OPEN",A35-Inputs!$B$27+1,0)</f>
        <v>28</v>
      </c>
      <c r="D35" s="50">
        <f>IF(C35=0,0,MIN(Inputs!$B$25,IF(C35=1,ROUND(Inputs!$B$24*Inputs!$B$28,0),IF(C35&lt;=12,ROUND(ROUND(Inputs!$B$24*Inputs!$B$28,0)+(Inputs!$B$70-ROUND(Inputs!$B$24*Inputs!$B$28,0))*(C35-1)/11,0),IF(C35&lt;=24,ROUND(Inputs!$B$70+(Inputs!$B$71-Inputs!$B$70)*(C35-12)/12,0),IF(C35&lt;=36,ROUND(Inputs!$B$71+(Inputs!$B$72-Inputs!$B$71)*(C35-24)/12,0),IF(C35&lt;=48,ROUND(Inputs!$B$72+(Inputs!$B$73-Inputs!$B$72)*(C35-36)/12,0),ROUND(Inputs!$B$73+(Inputs!$B$74-Inputs!$B$73)*MIN(C35-48,12)/12,0))))))))</f>
        <v>642</v>
      </c>
      <c r="E35" s="50">
        <f>IF(C35=0,0,IF(Inputs!$B$50=1,MIN(D35,MAX(0,Inputs!$B$57-Inputs!$B$54)),MIN(D35,Inputs!$B$57)))</f>
        <v>642</v>
      </c>
      <c r="F35" s="50">
        <f>IF(AND(C35&gt;=Inputs!$B$56,Inputs!$B$50=1),Inputs!$B$54,0)</f>
        <v>0</v>
      </c>
      <c r="G35" s="50">
        <f t="shared" si="1"/>
        <v>642</v>
      </c>
      <c r="H35" s="10">
        <f>Inputs!$B$44*(1+Inputs!$B$20)^MAX(0,ROUNDUP(C35/12,0)-1)</f>
        <v>223</v>
      </c>
      <c r="I35" s="10">
        <f>IF(C35=0,0,E35*H35+F35*Inputs!$B$55)</f>
        <v>143166</v>
      </c>
      <c r="J35" s="10">
        <f>IF(C35=0,0,Inputs!$B$47)</f>
        <v>6500</v>
      </c>
      <c r="K35" s="10">
        <f t="shared" si="2"/>
        <v>149666</v>
      </c>
      <c r="L35" s="10">
        <f>K35/(1+Inputs!$B$6)</f>
        <v>126835.5932</v>
      </c>
      <c r="M35" s="10">
        <f>(K35*Inputs!$B$49)/(1+Inputs!$B$6)</f>
        <v>1268.355932</v>
      </c>
      <c r="N35" s="10">
        <f>IF(C35=0,Inputs!$B$34,'Operating Costs'!$C$23*(1+Inputs!$B$19)^MAX(0,ROUNDUP(C35/12,0)-1))</f>
        <v>63913.72881</v>
      </c>
      <c r="O35" s="10">
        <f t="shared" si="3"/>
        <v>61653.50847</v>
      </c>
      <c r="P35" s="10">
        <f t="array" ref="P35">INDEX(Financing!$J$17:$J$79,A35+1)</f>
        <v>20881.22078</v>
      </c>
      <c r="Q35" s="10">
        <f t="array" ref="Q35">INDEX(Financing!$G$17:$G$79,A35+1)</f>
        <v>2580.928469</v>
      </c>
      <c r="R35" s="10">
        <f>IF(C35=0,0,Inputs!$B$18)</f>
        <v>6813</v>
      </c>
      <c r="S35" s="10">
        <f t="shared" si="4"/>
        <v>52259.58001</v>
      </c>
      <c r="T35" s="10">
        <f t="shared" si="10"/>
        <v>0</v>
      </c>
      <c r="U35" s="10">
        <f t="shared" si="5"/>
        <v>52259.58001</v>
      </c>
      <c r="V35" s="10">
        <f>U35*Inputs!$B$17</f>
        <v>12019.7034</v>
      </c>
      <c r="W35" s="10">
        <f t="shared" si="6"/>
        <v>0</v>
      </c>
      <c r="X35" s="10">
        <f t="shared" si="7"/>
        <v>28752.58429</v>
      </c>
      <c r="Y35" s="10">
        <f>IF(A35=Inputs!$B$63,'Startup &amp; Funding'!$B$16,0)</f>
        <v>0</v>
      </c>
      <c r="Z35" s="10">
        <f t="shared" si="11"/>
        <v>449100.9156</v>
      </c>
      <c r="AA35" s="10">
        <f t="array" ref="AA35">INDEX(Financing!$E$17:$E$79,A35+1)+INDEX(Financing!$I$17:$I$79,A35+1)</f>
        <v>801723.742</v>
      </c>
      <c r="AB35" s="50">
        <f t="shared" ref="AB35:AC35" si="40">AB34</f>
        <v>312.4663677</v>
      </c>
      <c r="AC35" s="50">
        <f t="shared" si="40"/>
        <v>424.0750126</v>
      </c>
      <c r="AD35" s="8" t="str">
        <f>IF(C35=1,"REOPEN",IF(A35=Inputs!$B$15,"DEBT START",IF(AND(C35&gt;0,MOD(C35,12)=0),"YEAR END","")))</f>
        <v/>
      </c>
    </row>
    <row r="36" ht="15.75" customHeight="1">
      <c r="A36" s="50">
        <f t="shared" si="9"/>
        <v>31</v>
      </c>
      <c r="B36" s="50" t="str">
        <f>IF(A36&lt;Inputs!$B$27,"BUILD","OPEN")</f>
        <v>OPEN</v>
      </c>
      <c r="C36" s="50">
        <f>IF(B36="OPEN",A36-Inputs!$B$27+1,0)</f>
        <v>29</v>
      </c>
      <c r="D36" s="50">
        <f>IF(C36=0,0,MIN(Inputs!$B$25,IF(C36=1,ROUND(Inputs!$B$24*Inputs!$B$28,0),IF(C36&lt;=12,ROUND(ROUND(Inputs!$B$24*Inputs!$B$28,0)+(Inputs!$B$70-ROUND(Inputs!$B$24*Inputs!$B$28,0))*(C36-1)/11,0),IF(C36&lt;=24,ROUND(Inputs!$B$70+(Inputs!$B$71-Inputs!$B$70)*(C36-12)/12,0),IF(C36&lt;=36,ROUND(Inputs!$B$71+(Inputs!$B$72-Inputs!$B$71)*(C36-24)/12,0),IF(C36&lt;=48,ROUND(Inputs!$B$72+(Inputs!$B$73-Inputs!$B$72)*(C36-36)/12,0),ROUND(Inputs!$B$73+(Inputs!$B$74-Inputs!$B$73)*MIN(C36-48,12)/12,0))))))))</f>
        <v>652</v>
      </c>
      <c r="E36" s="50">
        <f>IF(C36=0,0,IF(Inputs!$B$50=1,MIN(D36,MAX(0,Inputs!$B$57-Inputs!$B$54)),MIN(D36,Inputs!$B$57)))</f>
        <v>652</v>
      </c>
      <c r="F36" s="50">
        <f>IF(AND(C36&gt;=Inputs!$B$56,Inputs!$B$50=1),Inputs!$B$54,0)</f>
        <v>0</v>
      </c>
      <c r="G36" s="50">
        <f t="shared" si="1"/>
        <v>652</v>
      </c>
      <c r="H36" s="10">
        <f>Inputs!$B$44*(1+Inputs!$B$20)^MAX(0,ROUNDUP(C36/12,0)-1)</f>
        <v>223</v>
      </c>
      <c r="I36" s="10">
        <f>IF(C36=0,0,E36*H36+F36*Inputs!$B$55)</f>
        <v>145396</v>
      </c>
      <c r="J36" s="10">
        <f>IF(C36=0,0,Inputs!$B$47)</f>
        <v>6500</v>
      </c>
      <c r="K36" s="10">
        <f t="shared" si="2"/>
        <v>151896</v>
      </c>
      <c r="L36" s="10">
        <f>K36/(1+Inputs!$B$6)</f>
        <v>128725.4237</v>
      </c>
      <c r="M36" s="10">
        <f>(K36*Inputs!$B$49)/(1+Inputs!$B$6)</f>
        <v>1287.254237</v>
      </c>
      <c r="N36" s="10">
        <f>IF(C36=0,Inputs!$B$34,'Operating Costs'!$C$23*(1+Inputs!$B$19)^MAX(0,ROUNDUP(C36/12,0)-1))</f>
        <v>63913.72881</v>
      </c>
      <c r="O36" s="10">
        <f t="shared" si="3"/>
        <v>63524.44068</v>
      </c>
      <c r="P36" s="10">
        <f t="array" ref="P36">INDEX(Financing!$J$17:$J$79,A36+1)</f>
        <v>20881.22078</v>
      </c>
      <c r="Q36" s="10">
        <f t="array" ref="Q36">INDEX(Financing!$G$17:$G$79,A36+1)</f>
        <v>2524.323146</v>
      </c>
      <c r="R36" s="10">
        <f>IF(C36=0,0,Inputs!$B$18)</f>
        <v>6813</v>
      </c>
      <c r="S36" s="10">
        <f t="shared" si="4"/>
        <v>54187.11753</v>
      </c>
      <c r="T36" s="10">
        <f t="shared" si="10"/>
        <v>0</v>
      </c>
      <c r="U36" s="10">
        <f t="shared" si="5"/>
        <v>54187.11753</v>
      </c>
      <c r="V36" s="10">
        <f>U36*Inputs!$B$17</f>
        <v>12463.03703</v>
      </c>
      <c r="W36" s="10">
        <f t="shared" si="6"/>
        <v>0</v>
      </c>
      <c r="X36" s="10">
        <f t="shared" si="7"/>
        <v>30180.18286</v>
      </c>
      <c r="Y36" s="10">
        <f>IF(A36=Inputs!$B$63,'Startup &amp; Funding'!$B$16,0)</f>
        <v>0</v>
      </c>
      <c r="Z36" s="10">
        <f t="shared" si="11"/>
        <v>479281.0984</v>
      </c>
      <c r="AA36" s="10">
        <f t="array" ref="AA36">INDEX(Financing!$E$17:$E$79,A36+1)+INDEX(Financing!$I$17:$I$79,A36+1)</f>
        <v>783366.8444</v>
      </c>
      <c r="AB36" s="50">
        <f t="shared" ref="AB36:AC36" si="41">AB35</f>
        <v>312.4663677</v>
      </c>
      <c r="AC36" s="50">
        <f t="shared" si="41"/>
        <v>424.0750126</v>
      </c>
      <c r="AD36" s="8" t="str">
        <f>IF(C36=1,"REOPEN",IF(A36=Inputs!$B$15,"DEBT START",IF(AND(C36&gt;0,MOD(C36,12)=0),"YEAR END","")))</f>
        <v/>
      </c>
    </row>
    <row r="37" ht="15.75" customHeight="1">
      <c r="A37" s="50">
        <f t="shared" si="9"/>
        <v>32</v>
      </c>
      <c r="B37" s="50" t="str">
        <f>IF(A37&lt;Inputs!$B$27,"BUILD","OPEN")</f>
        <v>OPEN</v>
      </c>
      <c r="C37" s="50">
        <f>IF(B37="OPEN",A37-Inputs!$B$27+1,0)</f>
        <v>30</v>
      </c>
      <c r="D37" s="50">
        <f>IF(C37=0,0,MIN(Inputs!$B$25,IF(C37=1,ROUND(Inputs!$B$24*Inputs!$B$28,0),IF(C37&lt;=12,ROUND(ROUND(Inputs!$B$24*Inputs!$B$28,0)+(Inputs!$B$70-ROUND(Inputs!$B$24*Inputs!$B$28,0))*(C37-1)/11,0),IF(C37&lt;=24,ROUND(Inputs!$B$70+(Inputs!$B$71-Inputs!$B$70)*(C37-12)/12,0),IF(C37&lt;=36,ROUND(Inputs!$B$71+(Inputs!$B$72-Inputs!$B$71)*(C37-24)/12,0),IF(C37&lt;=48,ROUND(Inputs!$B$72+(Inputs!$B$73-Inputs!$B$72)*(C37-36)/12,0),ROUND(Inputs!$B$73+(Inputs!$B$74-Inputs!$B$73)*MIN(C37-48,12)/12,0))))))))</f>
        <v>663</v>
      </c>
      <c r="E37" s="50">
        <f>IF(C37=0,0,IF(Inputs!$B$50=1,MIN(D37,MAX(0,Inputs!$B$57-Inputs!$B$54)),MIN(D37,Inputs!$B$57)))</f>
        <v>663</v>
      </c>
      <c r="F37" s="50">
        <f>IF(AND(C37&gt;=Inputs!$B$56,Inputs!$B$50=1),Inputs!$B$54,0)</f>
        <v>0</v>
      </c>
      <c r="G37" s="50">
        <f t="shared" si="1"/>
        <v>663</v>
      </c>
      <c r="H37" s="10">
        <f>Inputs!$B$44*(1+Inputs!$B$20)^MAX(0,ROUNDUP(C37/12,0)-1)</f>
        <v>223</v>
      </c>
      <c r="I37" s="10">
        <f>IF(C37=0,0,E37*H37+F37*Inputs!$B$55)</f>
        <v>147849</v>
      </c>
      <c r="J37" s="10">
        <f>IF(C37=0,0,Inputs!$B$47)</f>
        <v>6500</v>
      </c>
      <c r="K37" s="10">
        <f t="shared" si="2"/>
        <v>154349</v>
      </c>
      <c r="L37" s="10">
        <f>K37/(1+Inputs!$B$6)</f>
        <v>130804.2373</v>
      </c>
      <c r="M37" s="10">
        <f>(K37*Inputs!$B$49)/(1+Inputs!$B$6)</f>
        <v>1308.042373</v>
      </c>
      <c r="N37" s="10">
        <f>IF(C37=0,Inputs!$B$34,'Operating Costs'!$C$23*(1+Inputs!$B$19)^MAX(0,ROUNDUP(C37/12,0)-1))</f>
        <v>63913.72881</v>
      </c>
      <c r="O37" s="10">
        <f t="shared" si="3"/>
        <v>65582.4661</v>
      </c>
      <c r="P37" s="10">
        <f t="array" ref="P37">INDEX(Financing!$J$17:$J$79,A37+1)</f>
        <v>20881.22078</v>
      </c>
      <c r="Q37" s="10">
        <f t="array" ref="Q37">INDEX(Financing!$G$17:$G$79,A37+1)</f>
        <v>2467.493759</v>
      </c>
      <c r="R37" s="10">
        <f>IF(C37=0,0,Inputs!$B$18)</f>
        <v>6813</v>
      </c>
      <c r="S37" s="10">
        <f t="shared" si="4"/>
        <v>56301.97234</v>
      </c>
      <c r="T37" s="10">
        <f t="shared" si="10"/>
        <v>0</v>
      </c>
      <c r="U37" s="10">
        <f t="shared" si="5"/>
        <v>56301.97234</v>
      </c>
      <c r="V37" s="10">
        <f>U37*Inputs!$B$17</f>
        <v>12949.45364</v>
      </c>
      <c r="W37" s="10">
        <f t="shared" si="6"/>
        <v>0</v>
      </c>
      <c r="X37" s="10">
        <f t="shared" si="7"/>
        <v>31751.79168</v>
      </c>
      <c r="Y37" s="10">
        <f>IF(A37=Inputs!$B$63,'Startup &amp; Funding'!$B$16,0)</f>
        <v>0</v>
      </c>
      <c r="Z37" s="10">
        <f t="shared" si="11"/>
        <v>511032.8901</v>
      </c>
      <c r="AA37" s="10">
        <f t="array" ref="AA37">INDEX(Financing!$E$17:$E$79,A37+1)+INDEX(Financing!$I$17:$I$79,A37+1)</f>
        <v>764953.1174</v>
      </c>
      <c r="AB37" s="50">
        <f t="shared" ref="AB37:AC37" si="42">AB36</f>
        <v>312.4663677</v>
      </c>
      <c r="AC37" s="50">
        <f t="shared" si="42"/>
        <v>424.0750126</v>
      </c>
      <c r="AD37" s="8" t="str">
        <f>IF(C37=1,"REOPEN",IF(A37=Inputs!$B$15,"DEBT START",IF(AND(C37&gt;0,MOD(C37,12)=0),"YEAR END","")))</f>
        <v/>
      </c>
    </row>
    <row r="38" ht="15.75" customHeight="1">
      <c r="A38" s="50">
        <f t="shared" si="9"/>
        <v>33</v>
      </c>
      <c r="B38" s="50" t="str">
        <f>IF(A38&lt;Inputs!$B$27,"BUILD","OPEN")</f>
        <v>OPEN</v>
      </c>
      <c r="C38" s="50">
        <f>IF(B38="OPEN",A38-Inputs!$B$27+1,0)</f>
        <v>31</v>
      </c>
      <c r="D38" s="50">
        <f>IF(C38=0,0,MIN(Inputs!$B$25,IF(C38=1,ROUND(Inputs!$B$24*Inputs!$B$28,0),IF(C38&lt;=12,ROUND(ROUND(Inputs!$B$24*Inputs!$B$28,0)+(Inputs!$B$70-ROUND(Inputs!$B$24*Inputs!$B$28,0))*(C38-1)/11,0),IF(C38&lt;=24,ROUND(Inputs!$B$70+(Inputs!$B$71-Inputs!$B$70)*(C38-12)/12,0),IF(C38&lt;=36,ROUND(Inputs!$B$71+(Inputs!$B$72-Inputs!$B$71)*(C38-24)/12,0),IF(C38&lt;=48,ROUND(Inputs!$B$72+(Inputs!$B$73-Inputs!$B$72)*(C38-36)/12,0),ROUND(Inputs!$B$73+(Inputs!$B$74-Inputs!$B$73)*MIN(C38-48,12)/12,0))))))))</f>
        <v>673</v>
      </c>
      <c r="E38" s="50">
        <f>IF(C38=0,0,IF(Inputs!$B$50=1,MIN(D38,MAX(0,Inputs!$B$57-Inputs!$B$54)),MIN(D38,Inputs!$B$57)))</f>
        <v>673</v>
      </c>
      <c r="F38" s="50">
        <f>IF(AND(C38&gt;=Inputs!$B$56,Inputs!$B$50=1),Inputs!$B$54,0)</f>
        <v>0</v>
      </c>
      <c r="G38" s="50">
        <f t="shared" si="1"/>
        <v>673</v>
      </c>
      <c r="H38" s="10">
        <f>Inputs!$B$44*(1+Inputs!$B$20)^MAX(0,ROUNDUP(C38/12,0)-1)</f>
        <v>223</v>
      </c>
      <c r="I38" s="10">
        <f>IF(C38=0,0,E38*H38+F38*Inputs!$B$55)</f>
        <v>150079</v>
      </c>
      <c r="J38" s="10">
        <f>IF(C38=0,0,Inputs!$B$47)</f>
        <v>6500</v>
      </c>
      <c r="K38" s="10">
        <f t="shared" si="2"/>
        <v>156579</v>
      </c>
      <c r="L38" s="10">
        <f>K38/(1+Inputs!$B$6)</f>
        <v>132694.0678</v>
      </c>
      <c r="M38" s="10">
        <f>(K38*Inputs!$B$49)/(1+Inputs!$B$6)</f>
        <v>1326.940678</v>
      </c>
      <c r="N38" s="10">
        <f>IF(C38=0,Inputs!$B$34,'Operating Costs'!$C$23*(1+Inputs!$B$19)^MAX(0,ROUNDUP(C38/12,0)-1))</f>
        <v>63913.72881</v>
      </c>
      <c r="O38" s="10">
        <f t="shared" si="3"/>
        <v>67453.39831</v>
      </c>
      <c r="P38" s="10">
        <f t="array" ref="P38">INDEX(Financing!$J$17:$J$79,A38+1)</f>
        <v>20881.22078</v>
      </c>
      <c r="Q38" s="10">
        <f t="array" ref="Q38">INDEX(Financing!$G$17:$G$79,A38+1)</f>
        <v>2410.439423</v>
      </c>
      <c r="R38" s="10">
        <f>IF(C38=0,0,Inputs!$B$18)</f>
        <v>6813</v>
      </c>
      <c r="S38" s="10">
        <f t="shared" si="4"/>
        <v>58229.95888</v>
      </c>
      <c r="T38" s="10">
        <f t="shared" si="10"/>
        <v>0</v>
      </c>
      <c r="U38" s="10">
        <f t="shared" si="5"/>
        <v>58229.95888</v>
      </c>
      <c r="V38" s="10">
        <f>U38*Inputs!$B$17</f>
        <v>13392.89054</v>
      </c>
      <c r="W38" s="10">
        <f t="shared" si="6"/>
        <v>0</v>
      </c>
      <c r="X38" s="10">
        <f t="shared" si="7"/>
        <v>33179.28698</v>
      </c>
      <c r="Y38" s="10">
        <f>IF(A38=Inputs!$B$63,'Startup &amp; Funding'!$B$16,0)</f>
        <v>0</v>
      </c>
      <c r="Z38" s="10">
        <f t="shared" si="11"/>
        <v>544212.1771</v>
      </c>
      <c r="AA38" s="10">
        <f t="array" ref="AA38">INDEX(Financing!$E$17:$E$79,A38+1)+INDEX(Financing!$I$17:$I$79,A38+1)</f>
        <v>746482.336</v>
      </c>
      <c r="AB38" s="50">
        <f t="shared" ref="AB38:AC38" si="43">AB37</f>
        <v>312.4663677</v>
      </c>
      <c r="AC38" s="50">
        <f t="shared" si="43"/>
        <v>424.0750126</v>
      </c>
      <c r="AD38" s="8" t="str">
        <f>IF(C38=1,"REOPEN",IF(A38=Inputs!$B$15,"DEBT START",IF(AND(C38&gt;0,MOD(C38,12)=0),"YEAR END","")))</f>
        <v/>
      </c>
    </row>
    <row r="39" ht="15.75" customHeight="1">
      <c r="A39" s="50">
        <f t="shared" si="9"/>
        <v>34</v>
      </c>
      <c r="B39" s="50" t="str">
        <f>IF(A39&lt;Inputs!$B$27,"BUILD","OPEN")</f>
        <v>OPEN</v>
      </c>
      <c r="C39" s="50">
        <f>IF(B39="OPEN",A39-Inputs!$B$27+1,0)</f>
        <v>32</v>
      </c>
      <c r="D39" s="50">
        <f>IF(C39=0,0,MIN(Inputs!$B$25,IF(C39=1,ROUND(Inputs!$B$24*Inputs!$B$28,0),IF(C39&lt;=12,ROUND(ROUND(Inputs!$B$24*Inputs!$B$28,0)+(Inputs!$B$70-ROUND(Inputs!$B$24*Inputs!$B$28,0))*(C39-1)/11,0),IF(C39&lt;=24,ROUND(Inputs!$B$70+(Inputs!$B$71-Inputs!$B$70)*(C39-12)/12,0),IF(C39&lt;=36,ROUND(Inputs!$B$71+(Inputs!$B$72-Inputs!$B$71)*(C39-24)/12,0),IF(C39&lt;=48,ROUND(Inputs!$B$72+(Inputs!$B$73-Inputs!$B$72)*(C39-36)/12,0),ROUND(Inputs!$B$73+(Inputs!$B$74-Inputs!$B$73)*MIN(C39-48,12)/12,0))))))))</f>
        <v>683</v>
      </c>
      <c r="E39" s="50">
        <f>IF(C39=0,0,IF(Inputs!$B$50=1,MIN(D39,MAX(0,Inputs!$B$57-Inputs!$B$54)),MIN(D39,Inputs!$B$57)))</f>
        <v>683</v>
      </c>
      <c r="F39" s="50">
        <f>IF(AND(C39&gt;=Inputs!$B$56,Inputs!$B$50=1),Inputs!$B$54,0)</f>
        <v>0</v>
      </c>
      <c r="G39" s="50">
        <f t="shared" si="1"/>
        <v>683</v>
      </c>
      <c r="H39" s="10">
        <f>Inputs!$B$44*(1+Inputs!$B$20)^MAX(0,ROUNDUP(C39/12,0)-1)</f>
        <v>223</v>
      </c>
      <c r="I39" s="10">
        <f>IF(C39=0,0,E39*H39+F39*Inputs!$B$55)</f>
        <v>152309</v>
      </c>
      <c r="J39" s="10">
        <f>IF(C39=0,0,Inputs!$B$47)</f>
        <v>6500</v>
      </c>
      <c r="K39" s="10">
        <f t="shared" si="2"/>
        <v>158809</v>
      </c>
      <c r="L39" s="10">
        <f>K39/(1+Inputs!$B$6)</f>
        <v>134583.8983</v>
      </c>
      <c r="M39" s="10">
        <f>(K39*Inputs!$B$49)/(1+Inputs!$B$6)</f>
        <v>1345.838983</v>
      </c>
      <c r="N39" s="10">
        <f>IF(C39=0,Inputs!$B$34,'Operating Costs'!$C$23*(1+Inputs!$B$19)^MAX(0,ROUNDUP(C39/12,0)-1))</f>
        <v>63913.72881</v>
      </c>
      <c r="O39" s="10">
        <f t="shared" si="3"/>
        <v>69324.33051</v>
      </c>
      <c r="P39" s="10">
        <f t="array" ref="P39">INDEX(Financing!$J$17:$J$79,A39+1)</f>
        <v>20881.22078</v>
      </c>
      <c r="Q39" s="10">
        <f t="array" ref="Q39">INDEX(Financing!$G$17:$G$79,A39+1)</f>
        <v>2353.159247</v>
      </c>
      <c r="R39" s="10">
        <f>IF(C39=0,0,Inputs!$B$18)</f>
        <v>6813</v>
      </c>
      <c r="S39" s="10">
        <f t="shared" si="4"/>
        <v>60158.17126</v>
      </c>
      <c r="T39" s="10">
        <f t="shared" si="10"/>
        <v>0</v>
      </c>
      <c r="U39" s="10">
        <f t="shared" si="5"/>
        <v>60158.17126</v>
      </c>
      <c r="V39" s="10">
        <f>U39*Inputs!$B$17</f>
        <v>13836.37939</v>
      </c>
      <c r="W39" s="10">
        <f t="shared" si="6"/>
        <v>0</v>
      </c>
      <c r="X39" s="10">
        <f t="shared" si="7"/>
        <v>34606.73034</v>
      </c>
      <c r="Y39" s="10">
        <f>IF(A39=Inputs!$B$63,'Startup &amp; Funding'!$B$16,0)</f>
        <v>0</v>
      </c>
      <c r="Z39" s="10">
        <f t="shared" si="11"/>
        <v>578818.9074</v>
      </c>
      <c r="AA39" s="10">
        <f t="array" ref="AA39">INDEX(Financing!$E$17:$E$79,A39+1)+INDEX(Financing!$I$17:$I$79,A39+1)</f>
        <v>727954.2745</v>
      </c>
      <c r="AB39" s="50">
        <f t="shared" ref="AB39:AC39" si="44">AB38</f>
        <v>312.4663677</v>
      </c>
      <c r="AC39" s="50">
        <f t="shared" si="44"/>
        <v>424.0750126</v>
      </c>
      <c r="AD39" s="8" t="str">
        <f>IF(C39=1,"REOPEN",IF(A39=Inputs!$B$15,"DEBT START",IF(AND(C39&gt;0,MOD(C39,12)=0),"YEAR END","")))</f>
        <v/>
      </c>
    </row>
    <row r="40" ht="15.75" customHeight="1">
      <c r="A40" s="50">
        <f t="shared" si="9"/>
        <v>35</v>
      </c>
      <c r="B40" s="50" t="str">
        <f>IF(A40&lt;Inputs!$B$27,"BUILD","OPEN")</f>
        <v>OPEN</v>
      </c>
      <c r="C40" s="50">
        <f>IF(B40="OPEN",A40-Inputs!$B$27+1,0)</f>
        <v>33</v>
      </c>
      <c r="D40" s="50">
        <f>IF(C40=0,0,MIN(Inputs!$B$25,IF(C40=1,ROUND(Inputs!$B$24*Inputs!$B$28,0),IF(C40&lt;=12,ROUND(ROUND(Inputs!$B$24*Inputs!$B$28,0)+(Inputs!$B$70-ROUND(Inputs!$B$24*Inputs!$B$28,0))*(C40-1)/11,0),IF(C40&lt;=24,ROUND(Inputs!$B$70+(Inputs!$B$71-Inputs!$B$70)*(C40-12)/12,0),IF(C40&lt;=36,ROUND(Inputs!$B$71+(Inputs!$B$72-Inputs!$B$71)*(C40-24)/12,0),IF(C40&lt;=48,ROUND(Inputs!$B$72+(Inputs!$B$73-Inputs!$B$72)*(C40-36)/12,0),ROUND(Inputs!$B$73+(Inputs!$B$74-Inputs!$B$73)*MIN(C40-48,12)/12,0))))))))</f>
        <v>694</v>
      </c>
      <c r="E40" s="50">
        <f>IF(C40=0,0,IF(Inputs!$B$50=1,MIN(D40,MAX(0,Inputs!$B$57-Inputs!$B$54)),MIN(D40,Inputs!$B$57)))</f>
        <v>694</v>
      </c>
      <c r="F40" s="50">
        <f>IF(AND(C40&gt;=Inputs!$B$56,Inputs!$B$50=1),Inputs!$B$54,0)</f>
        <v>0</v>
      </c>
      <c r="G40" s="50">
        <f t="shared" si="1"/>
        <v>694</v>
      </c>
      <c r="H40" s="10">
        <f>Inputs!$B$44*(1+Inputs!$B$20)^MAX(0,ROUNDUP(C40/12,0)-1)</f>
        <v>223</v>
      </c>
      <c r="I40" s="10">
        <f>IF(C40=0,0,E40*H40+F40*Inputs!$B$55)</f>
        <v>154762</v>
      </c>
      <c r="J40" s="10">
        <f>IF(C40=0,0,Inputs!$B$47)</f>
        <v>6500</v>
      </c>
      <c r="K40" s="10">
        <f t="shared" si="2"/>
        <v>161262</v>
      </c>
      <c r="L40" s="10">
        <f>K40/(1+Inputs!$B$6)</f>
        <v>136662.7119</v>
      </c>
      <c r="M40" s="10">
        <f>(K40*Inputs!$B$49)/(1+Inputs!$B$6)</f>
        <v>1366.627119</v>
      </c>
      <c r="N40" s="10">
        <f>IF(C40=0,Inputs!$B$34,'Operating Costs'!$C$23*(1+Inputs!$B$19)^MAX(0,ROUNDUP(C40/12,0)-1))</f>
        <v>63913.72881</v>
      </c>
      <c r="O40" s="10">
        <f t="shared" si="3"/>
        <v>71382.35593</v>
      </c>
      <c r="P40" s="10">
        <f t="array" ref="P40">INDEX(Financing!$J$17:$J$79,A40+1)</f>
        <v>20881.22078</v>
      </c>
      <c r="Q40" s="10">
        <f t="array" ref="Q40">INDEX(Financing!$G$17:$G$79,A40+1)</f>
        <v>2295.652336</v>
      </c>
      <c r="R40" s="10">
        <f>IF(C40=0,0,Inputs!$B$18)</f>
        <v>6813</v>
      </c>
      <c r="S40" s="10">
        <f t="shared" si="4"/>
        <v>62273.7036</v>
      </c>
      <c r="T40" s="10">
        <f t="shared" si="10"/>
        <v>0</v>
      </c>
      <c r="U40" s="10">
        <f t="shared" si="5"/>
        <v>62273.7036</v>
      </c>
      <c r="V40" s="10">
        <f>U40*Inputs!$B$17</f>
        <v>14322.95183</v>
      </c>
      <c r="W40" s="10">
        <f t="shared" si="6"/>
        <v>0</v>
      </c>
      <c r="X40" s="10">
        <f t="shared" si="7"/>
        <v>36178.18332</v>
      </c>
      <c r="Y40" s="10">
        <f>IF(A40=Inputs!$B$63,'Startup &amp; Funding'!$B$16,0)</f>
        <v>0</v>
      </c>
      <c r="Z40" s="10">
        <f t="shared" si="11"/>
        <v>614997.0907</v>
      </c>
      <c r="AA40" s="10">
        <f t="array" ref="AA40">INDEX(Financing!$E$17:$E$79,A40+1)+INDEX(Financing!$I$17:$I$79,A40+1)</f>
        <v>709368.706</v>
      </c>
      <c r="AB40" s="50">
        <f t="shared" ref="AB40:AC40" si="45">AB39</f>
        <v>312.4663677</v>
      </c>
      <c r="AC40" s="50">
        <f t="shared" si="45"/>
        <v>424.0750126</v>
      </c>
      <c r="AD40" s="8" t="str">
        <f>IF(C40=1,"REOPEN",IF(A40=Inputs!$B$15,"DEBT START",IF(AND(C40&gt;0,MOD(C40,12)=0),"YEAR END","")))</f>
        <v/>
      </c>
    </row>
    <row r="41" ht="15.75" customHeight="1">
      <c r="A41" s="50">
        <f t="shared" si="9"/>
        <v>36</v>
      </c>
      <c r="B41" s="50" t="str">
        <f>IF(A41&lt;Inputs!$B$27,"BUILD","OPEN")</f>
        <v>OPEN</v>
      </c>
      <c r="C41" s="50">
        <f>IF(B41="OPEN",A41-Inputs!$B$27+1,0)</f>
        <v>34</v>
      </c>
      <c r="D41" s="50">
        <f>IF(C41=0,0,MIN(Inputs!$B$25,IF(C41=1,ROUND(Inputs!$B$24*Inputs!$B$28,0),IF(C41&lt;=12,ROUND(ROUND(Inputs!$B$24*Inputs!$B$28,0)+(Inputs!$B$70-ROUND(Inputs!$B$24*Inputs!$B$28,0))*(C41-1)/11,0),IF(C41&lt;=24,ROUND(Inputs!$B$70+(Inputs!$B$71-Inputs!$B$70)*(C41-12)/12,0),IF(C41&lt;=36,ROUND(Inputs!$B$71+(Inputs!$B$72-Inputs!$B$71)*(C41-24)/12,0),IF(C41&lt;=48,ROUND(Inputs!$B$72+(Inputs!$B$73-Inputs!$B$72)*(C41-36)/12,0),ROUND(Inputs!$B$73+(Inputs!$B$74-Inputs!$B$73)*MIN(C41-48,12)/12,0))))))))</f>
        <v>704</v>
      </c>
      <c r="E41" s="50">
        <f>IF(C41=0,0,IF(Inputs!$B$50=1,MIN(D41,MAX(0,Inputs!$B$57-Inputs!$B$54)),MIN(D41,Inputs!$B$57)))</f>
        <v>704</v>
      </c>
      <c r="F41" s="50">
        <f>IF(AND(C41&gt;=Inputs!$B$56,Inputs!$B$50=1),Inputs!$B$54,0)</f>
        <v>0</v>
      </c>
      <c r="G41" s="50">
        <f t="shared" si="1"/>
        <v>704</v>
      </c>
      <c r="H41" s="10">
        <f>Inputs!$B$44*(1+Inputs!$B$20)^MAX(0,ROUNDUP(C41/12,0)-1)</f>
        <v>223</v>
      </c>
      <c r="I41" s="10">
        <f>IF(C41=0,0,E41*H41+F41*Inputs!$B$55)</f>
        <v>156992</v>
      </c>
      <c r="J41" s="10">
        <f>IF(C41=0,0,Inputs!$B$47)</f>
        <v>6500</v>
      </c>
      <c r="K41" s="10">
        <f t="shared" si="2"/>
        <v>163492</v>
      </c>
      <c r="L41" s="10">
        <f>K41/(1+Inputs!$B$6)</f>
        <v>138552.5424</v>
      </c>
      <c r="M41" s="10">
        <f>(K41*Inputs!$B$49)/(1+Inputs!$B$6)</f>
        <v>1385.525424</v>
      </c>
      <c r="N41" s="10">
        <f>IF(C41=0,Inputs!$B$34,'Operating Costs'!$C$23*(1+Inputs!$B$19)^MAX(0,ROUNDUP(C41/12,0)-1))</f>
        <v>63913.72881</v>
      </c>
      <c r="O41" s="10">
        <f t="shared" si="3"/>
        <v>73253.28814</v>
      </c>
      <c r="P41" s="10">
        <f t="array" ref="P41">INDEX(Financing!$J$17:$J$79,A41+1)</f>
        <v>20881.22078</v>
      </c>
      <c r="Q41" s="10">
        <f t="array" ref="Q41">INDEX(Financing!$G$17:$G$79,A41+1)</f>
        <v>2237.917795</v>
      </c>
      <c r="R41" s="10">
        <f>IF(C41=0,0,Inputs!$B$18)</f>
        <v>6813</v>
      </c>
      <c r="S41" s="10">
        <f t="shared" si="4"/>
        <v>64202.37034</v>
      </c>
      <c r="T41" s="10">
        <f t="shared" si="10"/>
        <v>0</v>
      </c>
      <c r="U41" s="10">
        <f t="shared" si="5"/>
        <v>64202.37034</v>
      </c>
      <c r="V41" s="10">
        <f>U41*Inputs!$B$17</f>
        <v>14766.54518</v>
      </c>
      <c r="W41" s="10">
        <f t="shared" si="6"/>
        <v>0</v>
      </c>
      <c r="X41" s="10">
        <f t="shared" si="7"/>
        <v>37605.52218</v>
      </c>
      <c r="Y41" s="10">
        <f>IF(A41=Inputs!$B$63,'Startup &amp; Funding'!$B$16,0)</f>
        <v>0</v>
      </c>
      <c r="Z41" s="10">
        <f t="shared" si="11"/>
        <v>652602.6129</v>
      </c>
      <c r="AA41" s="10">
        <f t="array" ref="AA41">INDEX(Financing!$E$17:$E$79,A41+1)+INDEX(Financing!$I$17:$I$79,A41+1)</f>
        <v>690725.403</v>
      </c>
      <c r="AB41" s="50">
        <f t="shared" ref="AB41:AC41" si="46">AB40</f>
        <v>312.4663677</v>
      </c>
      <c r="AC41" s="50">
        <f t="shared" si="46"/>
        <v>424.0750126</v>
      </c>
      <c r="AD41" s="8" t="str">
        <f>IF(C41=1,"REOPEN",IF(A41=Inputs!$B$15,"DEBT START",IF(AND(C41&gt;0,MOD(C41,12)=0),"YEAR END","")))</f>
        <v/>
      </c>
    </row>
    <row r="42" ht="15.75" customHeight="1">
      <c r="A42" s="50">
        <f t="shared" si="9"/>
        <v>37</v>
      </c>
      <c r="B42" s="50" t="str">
        <f>IF(A42&lt;Inputs!$B$27,"BUILD","OPEN")</f>
        <v>OPEN</v>
      </c>
      <c r="C42" s="50">
        <f>IF(B42="OPEN",A42-Inputs!$B$27+1,0)</f>
        <v>35</v>
      </c>
      <c r="D42" s="50">
        <f>IF(C42=0,0,MIN(Inputs!$B$25,IF(C42=1,ROUND(Inputs!$B$24*Inputs!$B$28,0),IF(C42&lt;=12,ROUND(ROUND(Inputs!$B$24*Inputs!$B$28,0)+(Inputs!$B$70-ROUND(Inputs!$B$24*Inputs!$B$28,0))*(C42-1)/11,0),IF(C42&lt;=24,ROUND(Inputs!$B$70+(Inputs!$B$71-Inputs!$B$70)*(C42-12)/12,0),IF(C42&lt;=36,ROUND(Inputs!$B$71+(Inputs!$B$72-Inputs!$B$71)*(C42-24)/12,0),IF(C42&lt;=48,ROUND(Inputs!$B$72+(Inputs!$B$73-Inputs!$B$72)*(C42-36)/12,0),ROUND(Inputs!$B$73+(Inputs!$B$74-Inputs!$B$73)*MIN(C42-48,12)/12,0))))))))</f>
        <v>715</v>
      </c>
      <c r="E42" s="50">
        <f>IF(C42=0,0,IF(Inputs!$B$50=1,MIN(D42,MAX(0,Inputs!$B$57-Inputs!$B$54)),MIN(D42,Inputs!$B$57)))</f>
        <v>715</v>
      </c>
      <c r="F42" s="50">
        <f>IF(AND(C42&gt;=Inputs!$B$56,Inputs!$B$50=1),Inputs!$B$54,0)</f>
        <v>0</v>
      </c>
      <c r="G42" s="50">
        <f t="shared" si="1"/>
        <v>715</v>
      </c>
      <c r="H42" s="10">
        <f>Inputs!$B$44*(1+Inputs!$B$20)^MAX(0,ROUNDUP(C42/12,0)-1)</f>
        <v>223</v>
      </c>
      <c r="I42" s="10">
        <f>IF(C42=0,0,E42*H42+F42*Inputs!$B$55)</f>
        <v>159445</v>
      </c>
      <c r="J42" s="10">
        <f>IF(C42=0,0,Inputs!$B$47)</f>
        <v>6500</v>
      </c>
      <c r="K42" s="10">
        <f t="shared" si="2"/>
        <v>165945</v>
      </c>
      <c r="L42" s="10">
        <f>K42/(1+Inputs!$B$6)</f>
        <v>140631.3559</v>
      </c>
      <c r="M42" s="10">
        <f>(K42*Inputs!$B$49)/(1+Inputs!$B$6)</f>
        <v>1406.313559</v>
      </c>
      <c r="N42" s="10">
        <f>IF(C42=0,Inputs!$B$34,'Operating Costs'!$C$23*(1+Inputs!$B$19)^MAX(0,ROUNDUP(C42/12,0)-1))</f>
        <v>63913.72881</v>
      </c>
      <c r="O42" s="10">
        <f t="shared" si="3"/>
        <v>75311.31356</v>
      </c>
      <c r="P42" s="10">
        <f t="array" ref="P42">INDEX(Financing!$J$17:$J$79,A42+1)</f>
        <v>20881.22078</v>
      </c>
      <c r="Q42" s="10">
        <f t="array" ref="Q42">INDEX(Financing!$G$17:$G$79,A42+1)</f>
        <v>2179.95472</v>
      </c>
      <c r="R42" s="10">
        <f>IF(C42=0,0,Inputs!$B$18)</f>
        <v>6813</v>
      </c>
      <c r="S42" s="10">
        <f t="shared" si="4"/>
        <v>66318.35884</v>
      </c>
      <c r="T42" s="10">
        <f t="shared" si="10"/>
        <v>0</v>
      </c>
      <c r="U42" s="10">
        <f t="shared" si="5"/>
        <v>66318.35884</v>
      </c>
      <c r="V42" s="10">
        <f>U42*Inputs!$B$17</f>
        <v>15253.22253</v>
      </c>
      <c r="W42" s="10">
        <f t="shared" si="6"/>
        <v>0</v>
      </c>
      <c r="X42" s="10">
        <f t="shared" si="7"/>
        <v>39176.87025</v>
      </c>
      <c r="Y42" s="10">
        <f>IF(A42=Inputs!$B$63,'Startup &amp; Funding'!$B$16,0)</f>
        <v>0</v>
      </c>
      <c r="Z42" s="10">
        <f t="shared" si="11"/>
        <v>691779.4832</v>
      </c>
      <c r="AA42" s="10">
        <f t="array" ref="AA42">INDEX(Financing!$E$17:$E$79,A42+1)+INDEX(Financing!$I$17:$I$79,A42+1)</f>
        <v>672024.137</v>
      </c>
      <c r="AB42" s="50">
        <f t="shared" ref="AB42:AC42" si="47">AB41</f>
        <v>312.4663677</v>
      </c>
      <c r="AC42" s="50">
        <f t="shared" si="47"/>
        <v>424.0750126</v>
      </c>
      <c r="AD42" s="8" t="str">
        <f>IF(C42=1,"REOPEN",IF(A42=Inputs!$B$15,"DEBT START",IF(AND(C42&gt;0,MOD(C42,12)=0),"YEAR END","")))</f>
        <v/>
      </c>
    </row>
    <row r="43" ht="15.75" customHeight="1">
      <c r="A43" s="50">
        <f t="shared" si="9"/>
        <v>38</v>
      </c>
      <c r="B43" s="50" t="str">
        <f>IF(A43&lt;Inputs!$B$27,"BUILD","OPEN")</f>
        <v>OPEN</v>
      </c>
      <c r="C43" s="50">
        <f>IF(B43="OPEN",A43-Inputs!$B$27+1,0)</f>
        <v>36</v>
      </c>
      <c r="D43" s="50">
        <f>IF(C43=0,0,MIN(Inputs!$B$25,IF(C43=1,ROUND(Inputs!$B$24*Inputs!$B$28,0),IF(C43&lt;=12,ROUND(ROUND(Inputs!$B$24*Inputs!$B$28,0)+(Inputs!$B$70-ROUND(Inputs!$B$24*Inputs!$B$28,0))*(C43-1)/11,0),IF(C43&lt;=24,ROUND(Inputs!$B$70+(Inputs!$B$71-Inputs!$B$70)*(C43-12)/12,0),IF(C43&lt;=36,ROUND(Inputs!$B$71+(Inputs!$B$72-Inputs!$B$71)*(C43-24)/12,0),IF(C43&lt;=48,ROUND(Inputs!$B$72+(Inputs!$B$73-Inputs!$B$72)*(C43-36)/12,0),ROUND(Inputs!$B$73+(Inputs!$B$74-Inputs!$B$73)*MIN(C43-48,12)/12,0))))))))</f>
        <v>725</v>
      </c>
      <c r="E43" s="50">
        <f>IF(C43=0,0,IF(Inputs!$B$50=1,MIN(D43,MAX(0,Inputs!$B$57-Inputs!$B$54)),MIN(D43,Inputs!$B$57)))</f>
        <v>725</v>
      </c>
      <c r="F43" s="50">
        <f>IF(AND(C43&gt;=Inputs!$B$56,Inputs!$B$50=1),Inputs!$B$54,0)</f>
        <v>0</v>
      </c>
      <c r="G43" s="50">
        <f t="shared" si="1"/>
        <v>725</v>
      </c>
      <c r="H43" s="10">
        <f>Inputs!$B$44*(1+Inputs!$B$20)^MAX(0,ROUNDUP(C43/12,0)-1)</f>
        <v>223</v>
      </c>
      <c r="I43" s="10">
        <f>IF(C43=0,0,E43*H43+F43*Inputs!$B$55)</f>
        <v>161675</v>
      </c>
      <c r="J43" s="10">
        <f>IF(C43=0,0,Inputs!$B$47)</f>
        <v>6500</v>
      </c>
      <c r="K43" s="10">
        <f t="shared" si="2"/>
        <v>168175</v>
      </c>
      <c r="L43" s="10">
        <f>K43/(1+Inputs!$B$6)</f>
        <v>142521.1864</v>
      </c>
      <c r="M43" s="10">
        <f>(K43*Inputs!$B$49)/(1+Inputs!$B$6)</f>
        <v>1425.211864</v>
      </c>
      <c r="N43" s="10">
        <f>IF(C43=0,Inputs!$B$34,'Operating Costs'!$C$23*(1+Inputs!$B$19)^MAX(0,ROUNDUP(C43/12,0)-1))</f>
        <v>63913.72881</v>
      </c>
      <c r="O43" s="10">
        <f t="shared" si="3"/>
        <v>77182.24576</v>
      </c>
      <c r="P43" s="10">
        <f t="array" ref="P43">INDEX(Financing!$J$17:$J$79,A43+1)</f>
        <v>20881.22078</v>
      </c>
      <c r="Q43" s="10">
        <f t="array" ref="Q43">INDEX(Financing!$G$17:$G$79,A43+1)</f>
        <v>2121.762209</v>
      </c>
      <c r="R43" s="10">
        <f>IF(C43=0,0,Inputs!$B$18)</f>
        <v>6813</v>
      </c>
      <c r="S43" s="10">
        <f t="shared" si="4"/>
        <v>68247.48355</v>
      </c>
      <c r="T43" s="10">
        <f t="shared" si="10"/>
        <v>0</v>
      </c>
      <c r="U43" s="10">
        <f t="shared" si="5"/>
        <v>68247.48355</v>
      </c>
      <c r="V43" s="10">
        <f>U43*Inputs!$B$17</f>
        <v>15696.92122</v>
      </c>
      <c r="W43" s="10">
        <f t="shared" si="6"/>
        <v>0</v>
      </c>
      <c r="X43" s="10">
        <f t="shared" si="7"/>
        <v>40604.10376</v>
      </c>
      <c r="Y43" s="10">
        <f>IF(A43=Inputs!$B$63,'Startup &amp; Funding'!$B$16,0)</f>
        <v>0</v>
      </c>
      <c r="Z43" s="10">
        <f t="shared" si="11"/>
        <v>732383.5869</v>
      </c>
      <c r="AA43" s="10">
        <f t="array" ref="AA43">INDEX(Financing!$E$17:$E$79,A43+1)+INDEX(Financing!$I$17:$I$79,A43+1)</f>
        <v>653264.6784</v>
      </c>
      <c r="AB43" s="50">
        <f t="shared" ref="AB43:AC43" si="48">AB42</f>
        <v>312.4663677</v>
      </c>
      <c r="AC43" s="50">
        <f t="shared" si="48"/>
        <v>424.0750126</v>
      </c>
      <c r="AD43" s="8" t="str">
        <f>IF(C43=1,"REOPEN",IF(A43=Inputs!$B$15,"DEBT START",IF(AND(C43&gt;0,MOD(C43,12)=0),"YEAR END","")))</f>
        <v>YEAR END</v>
      </c>
    </row>
    <row r="44" ht="15.75" customHeight="1">
      <c r="A44" s="50">
        <f t="shared" si="9"/>
        <v>39</v>
      </c>
      <c r="B44" s="50" t="str">
        <f>IF(A44&lt;Inputs!$B$27,"BUILD","OPEN")</f>
        <v>OPEN</v>
      </c>
      <c r="C44" s="50">
        <f>IF(B44="OPEN",A44-Inputs!$B$27+1,0)</f>
        <v>37</v>
      </c>
      <c r="D44" s="50">
        <f>IF(C44=0,0,MIN(Inputs!$B$25,IF(C44=1,ROUND(Inputs!$B$24*Inputs!$B$28,0),IF(C44&lt;=12,ROUND(ROUND(Inputs!$B$24*Inputs!$B$28,0)+(Inputs!$B$70-ROUND(Inputs!$B$24*Inputs!$B$28,0))*(C44-1)/11,0),IF(C44&lt;=24,ROUND(Inputs!$B$70+(Inputs!$B$71-Inputs!$B$70)*(C44-12)/12,0),IF(C44&lt;=36,ROUND(Inputs!$B$71+(Inputs!$B$72-Inputs!$B$71)*(C44-24)/12,0),IF(C44&lt;=48,ROUND(Inputs!$B$72+(Inputs!$B$73-Inputs!$B$72)*(C44-36)/12,0),ROUND(Inputs!$B$73+(Inputs!$B$74-Inputs!$B$73)*MIN(C44-48,12)/12,0))))))))</f>
        <v>731</v>
      </c>
      <c r="E44" s="50">
        <f>IF(C44=0,0,IF(Inputs!$B$50=1,MIN(D44,MAX(0,Inputs!$B$57-Inputs!$B$54)),MIN(D44,Inputs!$B$57)))</f>
        <v>731</v>
      </c>
      <c r="F44" s="50">
        <f>IF(AND(C44&gt;=Inputs!$B$56,Inputs!$B$50=1),Inputs!$B$54,0)</f>
        <v>0</v>
      </c>
      <c r="G44" s="50">
        <f t="shared" si="1"/>
        <v>731</v>
      </c>
      <c r="H44" s="10">
        <f>Inputs!$B$44*(1+Inputs!$B$20)^MAX(0,ROUNDUP(C44/12,0)-1)</f>
        <v>223</v>
      </c>
      <c r="I44" s="10">
        <f>IF(C44=0,0,E44*H44+F44*Inputs!$B$55)</f>
        <v>163013</v>
      </c>
      <c r="J44" s="10">
        <f>IF(C44=0,0,Inputs!$B$47)</f>
        <v>6500</v>
      </c>
      <c r="K44" s="10">
        <f t="shared" si="2"/>
        <v>169513</v>
      </c>
      <c r="L44" s="10">
        <f>K44/(1+Inputs!$B$6)</f>
        <v>143655.0847</v>
      </c>
      <c r="M44" s="10">
        <f>(K44*Inputs!$B$49)/(1+Inputs!$B$6)</f>
        <v>1436.550847</v>
      </c>
      <c r="N44" s="10">
        <f>IF(C44=0,Inputs!$B$34,'Operating Costs'!$C$23*(1+Inputs!$B$19)^MAX(0,ROUNDUP(C44/12,0)-1))</f>
        <v>63913.72881</v>
      </c>
      <c r="O44" s="10">
        <f t="shared" si="3"/>
        <v>78304.80508</v>
      </c>
      <c r="P44" s="10">
        <f t="array" ref="P44">INDEX(Financing!$J$17:$J$79,A44+1)</f>
        <v>20881.22078</v>
      </c>
      <c r="Q44" s="10">
        <f t="array" ref="Q44">INDEX(Financing!$G$17:$G$79,A44+1)</f>
        <v>2063.339352</v>
      </c>
      <c r="R44" s="10">
        <f>IF(C44=0,0,Inputs!$B$18)</f>
        <v>6813</v>
      </c>
      <c r="S44" s="10">
        <f t="shared" si="4"/>
        <v>69428.46573</v>
      </c>
      <c r="T44" s="10">
        <f t="shared" si="10"/>
        <v>0</v>
      </c>
      <c r="U44" s="10">
        <f t="shared" si="5"/>
        <v>69428.46573</v>
      </c>
      <c r="V44" s="10">
        <f>U44*Inputs!$B$17</f>
        <v>15968.54712</v>
      </c>
      <c r="W44" s="10">
        <f t="shared" si="6"/>
        <v>0</v>
      </c>
      <c r="X44" s="10">
        <f t="shared" si="7"/>
        <v>41455.03719</v>
      </c>
      <c r="Y44" s="10">
        <f>IF(A44=Inputs!$B$63,'Startup &amp; Funding'!$B$16,0)</f>
        <v>0</v>
      </c>
      <c r="Z44" s="10">
        <f t="shared" si="11"/>
        <v>773838.6241</v>
      </c>
      <c r="AA44" s="10">
        <f t="array" ref="AA44">INDEX(Financing!$E$17:$E$79,A44+1)+INDEX(Financing!$I$17:$I$79,A44+1)</f>
        <v>634446.797</v>
      </c>
      <c r="AB44" s="50">
        <f t="shared" ref="AB44:AC44" si="49">AB43</f>
        <v>312.4663677</v>
      </c>
      <c r="AC44" s="50">
        <f t="shared" si="49"/>
        <v>424.0750126</v>
      </c>
      <c r="AD44" s="8" t="str">
        <f>IF(C44=1,"REOPEN",IF(A44=Inputs!$B$15,"DEBT START",IF(AND(C44&gt;0,MOD(C44,12)=0),"YEAR END","")))</f>
        <v/>
      </c>
    </row>
    <row r="45" ht="15.75" customHeight="1">
      <c r="A45" s="50">
        <f t="shared" si="9"/>
        <v>40</v>
      </c>
      <c r="B45" s="50" t="str">
        <f>IF(A45&lt;Inputs!$B$27,"BUILD","OPEN")</f>
        <v>OPEN</v>
      </c>
      <c r="C45" s="50">
        <f>IF(B45="OPEN",A45-Inputs!$B$27+1,0)</f>
        <v>38</v>
      </c>
      <c r="D45" s="50">
        <f>IF(C45=0,0,MIN(Inputs!$B$25,IF(C45=1,ROUND(Inputs!$B$24*Inputs!$B$28,0),IF(C45&lt;=12,ROUND(ROUND(Inputs!$B$24*Inputs!$B$28,0)+(Inputs!$B$70-ROUND(Inputs!$B$24*Inputs!$B$28,0))*(C45-1)/11,0),IF(C45&lt;=24,ROUND(Inputs!$B$70+(Inputs!$B$71-Inputs!$B$70)*(C45-12)/12,0),IF(C45&lt;=36,ROUND(Inputs!$B$71+(Inputs!$B$72-Inputs!$B$71)*(C45-24)/12,0),IF(C45&lt;=48,ROUND(Inputs!$B$72+(Inputs!$B$73-Inputs!$B$72)*(C45-36)/12,0),ROUND(Inputs!$B$73+(Inputs!$B$74-Inputs!$B$73)*MIN(C45-48,12)/12,0))))))))</f>
        <v>738</v>
      </c>
      <c r="E45" s="50">
        <f>IF(C45=0,0,IF(Inputs!$B$50=1,MIN(D45,MAX(0,Inputs!$B$57-Inputs!$B$54)),MIN(D45,Inputs!$B$57)))</f>
        <v>738</v>
      </c>
      <c r="F45" s="50">
        <f>IF(AND(C45&gt;=Inputs!$B$56,Inputs!$B$50=1),Inputs!$B$54,0)</f>
        <v>0</v>
      </c>
      <c r="G45" s="50">
        <f t="shared" si="1"/>
        <v>738</v>
      </c>
      <c r="H45" s="10">
        <f>Inputs!$B$44*(1+Inputs!$B$20)^MAX(0,ROUNDUP(C45/12,0)-1)</f>
        <v>223</v>
      </c>
      <c r="I45" s="10">
        <f>IF(C45=0,0,E45*H45+F45*Inputs!$B$55)</f>
        <v>164574</v>
      </c>
      <c r="J45" s="10">
        <f>IF(C45=0,0,Inputs!$B$47)</f>
        <v>6500</v>
      </c>
      <c r="K45" s="10">
        <f t="shared" si="2"/>
        <v>171074</v>
      </c>
      <c r="L45" s="10">
        <f>K45/(1+Inputs!$B$6)</f>
        <v>144977.9661</v>
      </c>
      <c r="M45" s="10">
        <f>(K45*Inputs!$B$49)/(1+Inputs!$B$6)</f>
        <v>1449.779661</v>
      </c>
      <c r="N45" s="10">
        <f>IF(C45=0,Inputs!$B$34,'Operating Costs'!$C$23*(1+Inputs!$B$19)^MAX(0,ROUNDUP(C45/12,0)-1))</f>
        <v>63913.72881</v>
      </c>
      <c r="O45" s="10">
        <f t="shared" si="3"/>
        <v>79614.45763</v>
      </c>
      <c r="P45" s="10">
        <f t="array" ref="P45">INDEX(Financing!$J$17:$J$79,A45+1)</f>
        <v>20881.22078</v>
      </c>
      <c r="Q45" s="10">
        <f t="array" ref="Q45">INDEX(Financing!$G$17:$G$79,A45+1)</f>
        <v>2004.685238</v>
      </c>
      <c r="R45" s="10">
        <f>IF(C45=0,0,Inputs!$B$18)</f>
        <v>6813</v>
      </c>
      <c r="S45" s="10">
        <f t="shared" si="4"/>
        <v>70796.77239</v>
      </c>
      <c r="T45" s="10">
        <f t="shared" si="10"/>
        <v>0</v>
      </c>
      <c r="U45" s="10">
        <f t="shared" si="5"/>
        <v>70796.77239</v>
      </c>
      <c r="V45" s="10">
        <f>U45*Inputs!$B$17</f>
        <v>16283.25765</v>
      </c>
      <c r="W45" s="10">
        <f t="shared" si="6"/>
        <v>0</v>
      </c>
      <c r="X45" s="10">
        <f t="shared" si="7"/>
        <v>42449.9792</v>
      </c>
      <c r="Y45" s="10">
        <f>IF(A45=Inputs!$B$63,'Startup &amp; Funding'!$B$16,0)</f>
        <v>0</v>
      </c>
      <c r="Z45" s="10">
        <f t="shared" si="11"/>
        <v>816288.6033</v>
      </c>
      <c r="AA45" s="10">
        <f t="array" ref="AA45">INDEX(Financing!$E$17:$E$79,A45+1)+INDEX(Financing!$I$17:$I$79,A45+1)</f>
        <v>615570.2614</v>
      </c>
      <c r="AB45" s="50">
        <f t="shared" ref="AB45:AC45" si="50">AB44</f>
        <v>312.4663677</v>
      </c>
      <c r="AC45" s="50">
        <f t="shared" si="50"/>
        <v>424.0750126</v>
      </c>
      <c r="AD45" s="8" t="str">
        <f>IF(C45=1,"REOPEN",IF(A45=Inputs!$B$15,"DEBT START",IF(AND(C45&gt;0,MOD(C45,12)=0),"YEAR END","")))</f>
        <v/>
      </c>
    </row>
    <row r="46" ht="15.75" customHeight="1">
      <c r="A46" s="50">
        <f t="shared" si="9"/>
        <v>41</v>
      </c>
      <c r="B46" s="50" t="str">
        <f>IF(A46&lt;Inputs!$B$27,"BUILD","OPEN")</f>
        <v>OPEN</v>
      </c>
      <c r="C46" s="50">
        <f>IF(B46="OPEN",A46-Inputs!$B$27+1,0)</f>
        <v>39</v>
      </c>
      <c r="D46" s="50">
        <f>IF(C46=0,0,MIN(Inputs!$B$25,IF(C46=1,ROUND(Inputs!$B$24*Inputs!$B$28,0),IF(C46&lt;=12,ROUND(ROUND(Inputs!$B$24*Inputs!$B$28,0)+(Inputs!$B$70-ROUND(Inputs!$B$24*Inputs!$B$28,0))*(C46-1)/11,0),IF(C46&lt;=24,ROUND(Inputs!$B$70+(Inputs!$B$71-Inputs!$B$70)*(C46-12)/12,0),IF(C46&lt;=36,ROUND(Inputs!$B$71+(Inputs!$B$72-Inputs!$B$71)*(C46-24)/12,0),IF(C46&lt;=48,ROUND(Inputs!$B$72+(Inputs!$B$73-Inputs!$B$72)*(C46-36)/12,0),ROUND(Inputs!$B$73+(Inputs!$B$74-Inputs!$B$73)*MIN(C46-48,12)/12,0))))))))</f>
        <v>744</v>
      </c>
      <c r="E46" s="50">
        <f>IF(C46=0,0,IF(Inputs!$B$50=1,MIN(D46,MAX(0,Inputs!$B$57-Inputs!$B$54)),MIN(D46,Inputs!$B$57)))</f>
        <v>744</v>
      </c>
      <c r="F46" s="50">
        <f>IF(AND(C46&gt;=Inputs!$B$56,Inputs!$B$50=1),Inputs!$B$54,0)</f>
        <v>0</v>
      </c>
      <c r="G46" s="50">
        <f t="shared" si="1"/>
        <v>744</v>
      </c>
      <c r="H46" s="10">
        <f>Inputs!$B$44*(1+Inputs!$B$20)^MAX(0,ROUNDUP(C46/12,0)-1)</f>
        <v>223</v>
      </c>
      <c r="I46" s="10">
        <f>IF(C46=0,0,E46*H46+F46*Inputs!$B$55)</f>
        <v>165912</v>
      </c>
      <c r="J46" s="10">
        <f>IF(C46=0,0,Inputs!$B$47)</f>
        <v>6500</v>
      </c>
      <c r="K46" s="10">
        <f t="shared" si="2"/>
        <v>172412</v>
      </c>
      <c r="L46" s="10">
        <f>K46/(1+Inputs!$B$6)</f>
        <v>146111.8644</v>
      </c>
      <c r="M46" s="10">
        <f>(K46*Inputs!$B$49)/(1+Inputs!$B$6)</f>
        <v>1461.118644</v>
      </c>
      <c r="N46" s="10">
        <f>IF(C46=0,Inputs!$B$34,'Operating Costs'!$C$23*(1+Inputs!$B$19)^MAX(0,ROUNDUP(C46/12,0)-1))</f>
        <v>63913.72881</v>
      </c>
      <c r="O46" s="10">
        <f t="shared" si="3"/>
        <v>80737.01695</v>
      </c>
      <c r="P46" s="10">
        <f t="array" ref="P46">INDEX(Financing!$J$17:$J$79,A46+1)</f>
        <v>20881.22078</v>
      </c>
      <c r="Q46" s="10">
        <f t="array" ref="Q46">INDEX(Financing!$G$17:$G$79,A46+1)</f>
        <v>1945.798952</v>
      </c>
      <c r="R46" s="10">
        <f>IF(C46=0,0,Inputs!$B$18)</f>
        <v>6813</v>
      </c>
      <c r="S46" s="10">
        <f t="shared" si="4"/>
        <v>71978.218</v>
      </c>
      <c r="T46" s="10">
        <f t="shared" si="10"/>
        <v>0</v>
      </c>
      <c r="U46" s="10">
        <f t="shared" si="5"/>
        <v>71978.218</v>
      </c>
      <c r="V46" s="10">
        <f>U46*Inputs!$B$17</f>
        <v>16554.99014</v>
      </c>
      <c r="W46" s="10">
        <f t="shared" si="6"/>
        <v>0</v>
      </c>
      <c r="X46" s="10">
        <f t="shared" si="7"/>
        <v>43300.80603</v>
      </c>
      <c r="Y46" s="10">
        <f>IF(A46=Inputs!$B$63,'Startup &amp; Funding'!$B$16,0)</f>
        <v>0</v>
      </c>
      <c r="Z46" s="10">
        <f t="shared" si="11"/>
        <v>859589.4093</v>
      </c>
      <c r="AA46" s="10">
        <f t="array" ref="AA46">INDEX(Financing!$E$17:$E$79,A46+1)+INDEX(Financing!$I$17:$I$79,A46+1)</f>
        <v>596634.8396</v>
      </c>
      <c r="AB46" s="50">
        <f t="shared" ref="AB46:AC46" si="51">AB45</f>
        <v>312.4663677</v>
      </c>
      <c r="AC46" s="50">
        <f t="shared" si="51"/>
        <v>424.0750126</v>
      </c>
      <c r="AD46" s="8" t="str">
        <f>IF(C46=1,"REOPEN",IF(A46=Inputs!$B$15,"DEBT START",IF(AND(C46&gt;0,MOD(C46,12)=0),"YEAR END","")))</f>
        <v/>
      </c>
    </row>
    <row r="47" ht="15.75" customHeight="1">
      <c r="A47" s="50">
        <f t="shared" si="9"/>
        <v>42</v>
      </c>
      <c r="B47" s="50" t="str">
        <f>IF(A47&lt;Inputs!$B$27,"BUILD","OPEN")</f>
        <v>OPEN</v>
      </c>
      <c r="C47" s="50">
        <f>IF(B47="OPEN",A47-Inputs!$B$27+1,0)</f>
        <v>40</v>
      </c>
      <c r="D47" s="50">
        <f>IF(C47=0,0,MIN(Inputs!$B$25,IF(C47=1,ROUND(Inputs!$B$24*Inputs!$B$28,0),IF(C47&lt;=12,ROUND(ROUND(Inputs!$B$24*Inputs!$B$28,0)+(Inputs!$B$70-ROUND(Inputs!$B$24*Inputs!$B$28,0))*(C47-1)/11,0),IF(C47&lt;=24,ROUND(Inputs!$B$70+(Inputs!$B$71-Inputs!$B$70)*(C47-12)/12,0),IF(C47&lt;=36,ROUND(Inputs!$B$71+(Inputs!$B$72-Inputs!$B$71)*(C47-24)/12,0),IF(C47&lt;=48,ROUND(Inputs!$B$72+(Inputs!$B$73-Inputs!$B$72)*(C47-36)/12,0),ROUND(Inputs!$B$73+(Inputs!$B$74-Inputs!$B$73)*MIN(C47-48,12)/12,0))))))))</f>
        <v>750</v>
      </c>
      <c r="E47" s="50">
        <f>IF(C47=0,0,IF(Inputs!$B$50=1,MIN(D47,MAX(0,Inputs!$B$57-Inputs!$B$54)),MIN(D47,Inputs!$B$57)))</f>
        <v>750</v>
      </c>
      <c r="F47" s="50">
        <f>IF(AND(C47&gt;=Inputs!$B$56,Inputs!$B$50=1),Inputs!$B$54,0)</f>
        <v>0</v>
      </c>
      <c r="G47" s="50">
        <f t="shared" si="1"/>
        <v>750</v>
      </c>
      <c r="H47" s="10">
        <f>Inputs!$B$44*(1+Inputs!$B$20)^MAX(0,ROUNDUP(C47/12,0)-1)</f>
        <v>223</v>
      </c>
      <c r="I47" s="10">
        <f>IF(C47=0,0,E47*H47+F47*Inputs!$B$55)</f>
        <v>167250</v>
      </c>
      <c r="J47" s="10">
        <f>IF(C47=0,0,Inputs!$B$47)</f>
        <v>6500</v>
      </c>
      <c r="K47" s="10">
        <f t="shared" si="2"/>
        <v>173750</v>
      </c>
      <c r="L47" s="10">
        <f>K47/(1+Inputs!$B$6)</f>
        <v>147245.7627</v>
      </c>
      <c r="M47" s="10">
        <f>(K47*Inputs!$B$49)/(1+Inputs!$B$6)</f>
        <v>1472.457627</v>
      </c>
      <c r="N47" s="10">
        <f>IF(C47=0,Inputs!$B$34,'Operating Costs'!$C$23*(1+Inputs!$B$19)^MAX(0,ROUNDUP(C47/12,0)-1))</f>
        <v>63913.72881</v>
      </c>
      <c r="O47" s="10">
        <f t="shared" si="3"/>
        <v>81859.57627</v>
      </c>
      <c r="P47" s="10">
        <f t="array" ref="P47">INDEX(Financing!$J$17:$J$79,A47+1)</f>
        <v>20881.22078</v>
      </c>
      <c r="Q47" s="10">
        <f t="array" ref="Q47">INDEX(Financing!$G$17:$G$79,A47+1)</f>
        <v>1886.679573</v>
      </c>
      <c r="R47" s="10">
        <f>IF(C47=0,0,Inputs!$B$18)</f>
        <v>6813</v>
      </c>
      <c r="S47" s="10">
        <f t="shared" si="4"/>
        <v>73159.8967</v>
      </c>
      <c r="T47" s="10">
        <f t="shared" si="10"/>
        <v>0</v>
      </c>
      <c r="U47" s="10">
        <f t="shared" si="5"/>
        <v>73159.8967</v>
      </c>
      <c r="V47" s="10">
        <f>U47*Inputs!$B$17</f>
        <v>16826.77624</v>
      </c>
      <c r="W47" s="10">
        <f t="shared" si="6"/>
        <v>0</v>
      </c>
      <c r="X47" s="10">
        <f t="shared" si="7"/>
        <v>44151.57925</v>
      </c>
      <c r="Y47" s="10">
        <f>IF(A47=Inputs!$B$63,'Startup &amp; Funding'!$B$16,0)</f>
        <v>0</v>
      </c>
      <c r="Z47" s="10">
        <f t="shared" si="11"/>
        <v>903740.9886</v>
      </c>
      <c r="AA47" s="10">
        <f t="array" ref="AA47">INDEX(Financing!$E$17:$E$79,A47+1)+INDEX(Financing!$I$17:$I$79,A47+1)</f>
        <v>577640.2984</v>
      </c>
      <c r="AB47" s="50">
        <f t="shared" ref="AB47:AC47" si="52">AB46</f>
        <v>312.4663677</v>
      </c>
      <c r="AC47" s="50">
        <f t="shared" si="52"/>
        <v>424.0750126</v>
      </c>
      <c r="AD47" s="8" t="str">
        <f>IF(C47=1,"REOPEN",IF(A47=Inputs!$B$15,"DEBT START",IF(AND(C47&gt;0,MOD(C47,12)=0),"YEAR END","")))</f>
        <v/>
      </c>
    </row>
    <row r="48" ht="15.75" customHeight="1">
      <c r="A48" s="50">
        <f t="shared" si="9"/>
        <v>43</v>
      </c>
      <c r="B48" s="50" t="str">
        <f>IF(A48&lt;Inputs!$B$27,"BUILD","OPEN")</f>
        <v>OPEN</v>
      </c>
      <c r="C48" s="50">
        <f>IF(B48="OPEN",A48-Inputs!$B$27+1,0)</f>
        <v>41</v>
      </c>
      <c r="D48" s="50">
        <f>IF(C48=0,0,MIN(Inputs!$B$25,IF(C48=1,ROUND(Inputs!$B$24*Inputs!$B$28,0),IF(C48&lt;=12,ROUND(ROUND(Inputs!$B$24*Inputs!$B$28,0)+(Inputs!$B$70-ROUND(Inputs!$B$24*Inputs!$B$28,0))*(C48-1)/11,0),IF(C48&lt;=24,ROUND(Inputs!$B$70+(Inputs!$B$71-Inputs!$B$70)*(C48-12)/12,0),IF(C48&lt;=36,ROUND(Inputs!$B$71+(Inputs!$B$72-Inputs!$B$71)*(C48-24)/12,0),IF(C48&lt;=48,ROUND(Inputs!$B$72+(Inputs!$B$73-Inputs!$B$72)*(C48-36)/12,0),ROUND(Inputs!$B$73+(Inputs!$B$74-Inputs!$B$73)*MIN(C48-48,12)/12,0))))))))</f>
        <v>756</v>
      </c>
      <c r="E48" s="50">
        <f>IF(C48=0,0,IF(Inputs!$B$50=1,MIN(D48,MAX(0,Inputs!$B$57-Inputs!$B$54)),MIN(D48,Inputs!$B$57)))</f>
        <v>756</v>
      </c>
      <c r="F48" s="50">
        <f>IF(AND(C48&gt;=Inputs!$B$56,Inputs!$B$50=1),Inputs!$B$54,0)</f>
        <v>0</v>
      </c>
      <c r="G48" s="50">
        <f t="shared" si="1"/>
        <v>756</v>
      </c>
      <c r="H48" s="10">
        <f>Inputs!$B$44*(1+Inputs!$B$20)^MAX(0,ROUNDUP(C48/12,0)-1)</f>
        <v>223</v>
      </c>
      <c r="I48" s="10">
        <f>IF(C48=0,0,E48*H48+F48*Inputs!$B$55)</f>
        <v>168588</v>
      </c>
      <c r="J48" s="10">
        <f>IF(C48=0,0,Inputs!$B$47)</f>
        <v>6500</v>
      </c>
      <c r="K48" s="10">
        <f t="shared" si="2"/>
        <v>175088</v>
      </c>
      <c r="L48" s="10">
        <f>K48/(1+Inputs!$B$6)</f>
        <v>148379.661</v>
      </c>
      <c r="M48" s="10">
        <f>(K48*Inputs!$B$49)/(1+Inputs!$B$6)</f>
        <v>1483.79661</v>
      </c>
      <c r="N48" s="10">
        <f>IF(C48=0,Inputs!$B$34,'Operating Costs'!$C$23*(1+Inputs!$B$19)^MAX(0,ROUNDUP(C48/12,0)-1))</f>
        <v>63913.72881</v>
      </c>
      <c r="O48" s="10">
        <f t="shared" si="3"/>
        <v>82982.13559</v>
      </c>
      <c r="P48" s="10">
        <f t="array" ref="P48">INDEX(Financing!$J$17:$J$79,A48+1)</f>
        <v>20881.22078</v>
      </c>
      <c r="Q48" s="10">
        <f t="array" ref="Q48">INDEX(Financing!$G$17:$G$79,A48+1)</f>
        <v>1827.326181</v>
      </c>
      <c r="R48" s="10">
        <f>IF(C48=0,0,Inputs!$B$18)</f>
        <v>6813</v>
      </c>
      <c r="S48" s="10">
        <f t="shared" si="4"/>
        <v>74341.80941</v>
      </c>
      <c r="T48" s="10">
        <f t="shared" si="10"/>
        <v>0</v>
      </c>
      <c r="U48" s="10">
        <f t="shared" si="5"/>
        <v>74341.80941</v>
      </c>
      <c r="V48" s="10">
        <f>U48*Inputs!$B$17</f>
        <v>17098.61616</v>
      </c>
      <c r="W48" s="10">
        <f t="shared" si="6"/>
        <v>0</v>
      </c>
      <c r="X48" s="10">
        <f t="shared" si="7"/>
        <v>45002.29865</v>
      </c>
      <c r="Y48" s="10">
        <f>IF(A48=Inputs!$B$63,'Startup &amp; Funding'!$B$16,0)</f>
        <v>0</v>
      </c>
      <c r="Z48" s="10">
        <f t="shared" si="11"/>
        <v>948743.2872</v>
      </c>
      <c r="AA48" s="10">
        <f t="array" ref="AA48">INDEX(Financing!$E$17:$E$79,A48+1)+INDEX(Financing!$I$17:$I$79,A48+1)</f>
        <v>558586.4038</v>
      </c>
      <c r="AB48" s="50">
        <f t="shared" ref="AB48:AC48" si="53">AB47</f>
        <v>312.4663677</v>
      </c>
      <c r="AC48" s="50">
        <f t="shared" si="53"/>
        <v>424.0750126</v>
      </c>
      <c r="AD48" s="8" t="str">
        <f>IF(C48=1,"REOPEN",IF(A48=Inputs!$B$15,"DEBT START",IF(AND(C48&gt;0,MOD(C48,12)=0),"YEAR END","")))</f>
        <v/>
      </c>
    </row>
    <row r="49" ht="15.75" customHeight="1">
      <c r="A49" s="50">
        <f t="shared" si="9"/>
        <v>44</v>
      </c>
      <c r="B49" s="50" t="str">
        <f>IF(A49&lt;Inputs!$B$27,"BUILD","OPEN")</f>
        <v>OPEN</v>
      </c>
      <c r="C49" s="50">
        <f>IF(B49="OPEN",A49-Inputs!$B$27+1,0)</f>
        <v>42</v>
      </c>
      <c r="D49" s="50">
        <f>IF(C49=0,0,MIN(Inputs!$B$25,IF(C49=1,ROUND(Inputs!$B$24*Inputs!$B$28,0),IF(C49&lt;=12,ROUND(ROUND(Inputs!$B$24*Inputs!$B$28,0)+(Inputs!$B$70-ROUND(Inputs!$B$24*Inputs!$B$28,0))*(C49-1)/11,0),IF(C49&lt;=24,ROUND(Inputs!$B$70+(Inputs!$B$71-Inputs!$B$70)*(C49-12)/12,0),IF(C49&lt;=36,ROUND(Inputs!$B$71+(Inputs!$B$72-Inputs!$B$71)*(C49-24)/12,0),IF(C49&lt;=48,ROUND(Inputs!$B$72+(Inputs!$B$73-Inputs!$B$72)*(C49-36)/12,0),ROUND(Inputs!$B$73+(Inputs!$B$74-Inputs!$B$73)*MIN(C49-48,12)/12,0))))))))</f>
        <v>763</v>
      </c>
      <c r="E49" s="50">
        <f>IF(C49=0,0,IF(Inputs!$B$50=1,MIN(D49,MAX(0,Inputs!$B$57-Inputs!$B$54)),MIN(D49,Inputs!$B$57)))</f>
        <v>763</v>
      </c>
      <c r="F49" s="50">
        <f>IF(AND(C49&gt;=Inputs!$B$56,Inputs!$B$50=1),Inputs!$B$54,0)</f>
        <v>0</v>
      </c>
      <c r="G49" s="50">
        <f t="shared" si="1"/>
        <v>763</v>
      </c>
      <c r="H49" s="10">
        <f>Inputs!$B$44*(1+Inputs!$B$20)^MAX(0,ROUNDUP(C49/12,0)-1)</f>
        <v>223</v>
      </c>
      <c r="I49" s="10">
        <f>IF(C49=0,0,E49*H49+F49*Inputs!$B$55)</f>
        <v>170149</v>
      </c>
      <c r="J49" s="10">
        <f>IF(C49=0,0,Inputs!$B$47)</f>
        <v>6500</v>
      </c>
      <c r="K49" s="10">
        <f t="shared" si="2"/>
        <v>176649</v>
      </c>
      <c r="L49" s="10">
        <f>K49/(1+Inputs!$B$6)</f>
        <v>149702.5424</v>
      </c>
      <c r="M49" s="10">
        <f>(K49*Inputs!$B$49)/(1+Inputs!$B$6)</f>
        <v>1497.025424</v>
      </c>
      <c r="N49" s="10">
        <f>IF(C49=0,Inputs!$B$34,'Operating Costs'!$C$23*(1+Inputs!$B$19)^MAX(0,ROUNDUP(C49/12,0)-1))</f>
        <v>63913.72881</v>
      </c>
      <c r="O49" s="10">
        <f t="shared" si="3"/>
        <v>84291.78814</v>
      </c>
      <c r="P49" s="10">
        <f t="array" ref="P49">INDEX(Financing!$J$17:$J$79,A49+1)</f>
        <v>20881.22078</v>
      </c>
      <c r="Q49" s="10">
        <f t="array" ref="Q49">INDEX(Financing!$G$17:$G$79,A49+1)</f>
        <v>1767.737848</v>
      </c>
      <c r="R49" s="10">
        <f>IF(C49=0,0,Inputs!$B$18)</f>
        <v>6813</v>
      </c>
      <c r="S49" s="10">
        <f t="shared" si="4"/>
        <v>75711.05029</v>
      </c>
      <c r="T49" s="10">
        <f t="shared" si="10"/>
        <v>0</v>
      </c>
      <c r="U49" s="10">
        <f t="shared" si="5"/>
        <v>75711.05029</v>
      </c>
      <c r="V49" s="10">
        <f>U49*Inputs!$B$17</f>
        <v>17413.54157</v>
      </c>
      <c r="W49" s="10">
        <f t="shared" si="6"/>
        <v>0</v>
      </c>
      <c r="X49" s="10">
        <f t="shared" si="7"/>
        <v>45997.02579</v>
      </c>
      <c r="Y49" s="10">
        <f>IF(A49=Inputs!$B$63,'Startup &amp; Funding'!$B$16,0)</f>
        <v>0</v>
      </c>
      <c r="Z49" s="10">
        <f t="shared" si="11"/>
        <v>994740.313</v>
      </c>
      <c r="AA49" s="10">
        <f t="array" ref="AA49">INDEX(Financing!$E$17:$E$79,A49+1)+INDEX(Financing!$I$17:$I$79,A49+1)</f>
        <v>539472.9209</v>
      </c>
      <c r="AB49" s="50">
        <f t="shared" ref="AB49:AC49" si="54">AB48</f>
        <v>312.4663677</v>
      </c>
      <c r="AC49" s="50">
        <f t="shared" si="54"/>
        <v>424.0750126</v>
      </c>
      <c r="AD49" s="8" t="str">
        <f>IF(C49=1,"REOPEN",IF(A49=Inputs!$B$15,"DEBT START",IF(AND(C49&gt;0,MOD(C49,12)=0),"YEAR END","")))</f>
        <v/>
      </c>
    </row>
    <row r="50" ht="15.75" customHeight="1">
      <c r="A50" s="50">
        <f t="shared" si="9"/>
        <v>45</v>
      </c>
      <c r="B50" s="50" t="str">
        <f>IF(A50&lt;Inputs!$B$27,"BUILD","OPEN")</f>
        <v>OPEN</v>
      </c>
      <c r="C50" s="50">
        <f>IF(B50="OPEN",A50-Inputs!$B$27+1,0)</f>
        <v>43</v>
      </c>
      <c r="D50" s="50">
        <f>IF(C50=0,0,MIN(Inputs!$B$25,IF(C50=1,ROUND(Inputs!$B$24*Inputs!$B$28,0),IF(C50&lt;=12,ROUND(ROUND(Inputs!$B$24*Inputs!$B$28,0)+(Inputs!$B$70-ROUND(Inputs!$B$24*Inputs!$B$28,0))*(C50-1)/11,0),IF(C50&lt;=24,ROUND(Inputs!$B$70+(Inputs!$B$71-Inputs!$B$70)*(C50-12)/12,0),IF(C50&lt;=36,ROUND(Inputs!$B$71+(Inputs!$B$72-Inputs!$B$71)*(C50-24)/12,0),IF(C50&lt;=48,ROUND(Inputs!$B$72+(Inputs!$B$73-Inputs!$B$72)*(C50-36)/12,0),ROUND(Inputs!$B$73+(Inputs!$B$74-Inputs!$B$73)*MIN(C50-48,12)/12,0))))))))</f>
        <v>769</v>
      </c>
      <c r="E50" s="50">
        <f>IF(C50=0,0,IF(Inputs!$B$50=1,MIN(D50,MAX(0,Inputs!$B$57-Inputs!$B$54)),MIN(D50,Inputs!$B$57)))</f>
        <v>769</v>
      </c>
      <c r="F50" s="50">
        <f>IF(AND(C50&gt;=Inputs!$B$56,Inputs!$B$50=1),Inputs!$B$54,0)</f>
        <v>0</v>
      </c>
      <c r="G50" s="50">
        <f t="shared" si="1"/>
        <v>769</v>
      </c>
      <c r="H50" s="10">
        <f>Inputs!$B$44*(1+Inputs!$B$20)^MAX(0,ROUNDUP(C50/12,0)-1)</f>
        <v>223</v>
      </c>
      <c r="I50" s="10">
        <f>IF(C50=0,0,E50*H50+F50*Inputs!$B$55)</f>
        <v>171487</v>
      </c>
      <c r="J50" s="10">
        <f>IF(C50=0,0,Inputs!$B$47)</f>
        <v>6500</v>
      </c>
      <c r="K50" s="10">
        <f t="shared" si="2"/>
        <v>177987</v>
      </c>
      <c r="L50" s="10">
        <f>K50/(1+Inputs!$B$6)</f>
        <v>150836.4407</v>
      </c>
      <c r="M50" s="10">
        <f>(K50*Inputs!$B$49)/(1+Inputs!$B$6)</f>
        <v>1508.364407</v>
      </c>
      <c r="N50" s="10">
        <f>IF(C50=0,Inputs!$B$34,'Operating Costs'!$C$23*(1+Inputs!$B$19)^MAX(0,ROUNDUP(C50/12,0)-1))</f>
        <v>63913.72881</v>
      </c>
      <c r="O50" s="10">
        <f t="shared" si="3"/>
        <v>85414.34746</v>
      </c>
      <c r="P50" s="10">
        <f t="array" ref="P50">INDEX(Financing!$J$17:$J$79,A50+1)</f>
        <v>20881.22078</v>
      </c>
      <c r="Q50" s="10">
        <f t="array" ref="Q50">INDEX(Financing!$G$17:$G$79,A50+1)</f>
        <v>1707.913645</v>
      </c>
      <c r="R50" s="10">
        <f>IF(C50=0,0,Inputs!$B$18)</f>
        <v>6813</v>
      </c>
      <c r="S50" s="10">
        <f t="shared" si="4"/>
        <v>76893.43381</v>
      </c>
      <c r="T50" s="10">
        <f t="shared" si="10"/>
        <v>0</v>
      </c>
      <c r="U50" s="10">
        <f t="shared" si="5"/>
        <v>76893.43381</v>
      </c>
      <c r="V50" s="10">
        <f>U50*Inputs!$B$17</f>
        <v>17685.48978</v>
      </c>
      <c r="W50" s="10">
        <f t="shared" si="6"/>
        <v>0</v>
      </c>
      <c r="X50" s="10">
        <f t="shared" si="7"/>
        <v>46847.6369</v>
      </c>
      <c r="Y50" s="10">
        <f>IF(A50=Inputs!$B$63,'Startup &amp; Funding'!$B$16,0)</f>
        <v>0</v>
      </c>
      <c r="Z50" s="10">
        <f t="shared" si="11"/>
        <v>1041587.95</v>
      </c>
      <c r="AA50" s="10">
        <f t="array" ref="AA50">INDEX(Financing!$E$17:$E$79,A50+1)+INDEX(Financing!$I$17:$I$79,A50+1)</f>
        <v>520299.6137</v>
      </c>
      <c r="AB50" s="50">
        <f t="shared" ref="AB50:AC50" si="55">AB49</f>
        <v>312.4663677</v>
      </c>
      <c r="AC50" s="50">
        <f t="shared" si="55"/>
        <v>424.0750126</v>
      </c>
      <c r="AD50" s="8" t="str">
        <f>IF(C50=1,"REOPEN",IF(A50=Inputs!$B$15,"DEBT START",IF(AND(C50&gt;0,MOD(C50,12)=0),"YEAR END","")))</f>
        <v/>
      </c>
    </row>
    <row r="51" ht="15.75" customHeight="1">
      <c r="A51" s="50">
        <f t="shared" si="9"/>
        <v>46</v>
      </c>
      <c r="B51" s="50" t="str">
        <f>IF(A51&lt;Inputs!$B$27,"BUILD","OPEN")</f>
        <v>OPEN</v>
      </c>
      <c r="C51" s="50">
        <f>IF(B51="OPEN",A51-Inputs!$B$27+1,0)</f>
        <v>44</v>
      </c>
      <c r="D51" s="50">
        <f>IF(C51=0,0,MIN(Inputs!$B$25,IF(C51=1,ROUND(Inputs!$B$24*Inputs!$B$28,0),IF(C51&lt;=12,ROUND(ROUND(Inputs!$B$24*Inputs!$B$28,0)+(Inputs!$B$70-ROUND(Inputs!$B$24*Inputs!$B$28,0))*(C51-1)/11,0),IF(C51&lt;=24,ROUND(Inputs!$B$70+(Inputs!$B$71-Inputs!$B$70)*(C51-12)/12,0),IF(C51&lt;=36,ROUND(Inputs!$B$71+(Inputs!$B$72-Inputs!$B$71)*(C51-24)/12,0),IF(C51&lt;=48,ROUND(Inputs!$B$72+(Inputs!$B$73-Inputs!$B$72)*(C51-36)/12,0),ROUND(Inputs!$B$73+(Inputs!$B$74-Inputs!$B$73)*MIN(C51-48,12)/12,0))))))))</f>
        <v>775</v>
      </c>
      <c r="E51" s="50">
        <f>IF(C51=0,0,IF(Inputs!$B$50=1,MIN(D51,MAX(0,Inputs!$B$57-Inputs!$B$54)),MIN(D51,Inputs!$B$57)))</f>
        <v>775</v>
      </c>
      <c r="F51" s="50">
        <f>IF(AND(C51&gt;=Inputs!$B$56,Inputs!$B$50=1),Inputs!$B$54,0)</f>
        <v>0</v>
      </c>
      <c r="G51" s="50">
        <f t="shared" si="1"/>
        <v>775</v>
      </c>
      <c r="H51" s="10">
        <f>Inputs!$B$44*(1+Inputs!$B$20)^MAX(0,ROUNDUP(C51/12,0)-1)</f>
        <v>223</v>
      </c>
      <c r="I51" s="10">
        <f>IF(C51=0,0,E51*H51+F51*Inputs!$B$55)</f>
        <v>172825</v>
      </c>
      <c r="J51" s="10">
        <f>IF(C51=0,0,Inputs!$B$47)</f>
        <v>6500</v>
      </c>
      <c r="K51" s="10">
        <f t="shared" si="2"/>
        <v>179325</v>
      </c>
      <c r="L51" s="10">
        <f>K51/(1+Inputs!$B$6)</f>
        <v>151970.339</v>
      </c>
      <c r="M51" s="10">
        <f>(K51*Inputs!$B$49)/(1+Inputs!$B$6)</f>
        <v>1519.70339</v>
      </c>
      <c r="N51" s="10">
        <f>IF(C51=0,Inputs!$B$34,'Operating Costs'!$C$23*(1+Inputs!$B$19)^MAX(0,ROUNDUP(C51/12,0)-1))</f>
        <v>63913.72881</v>
      </c>
      <c r="O51" s="10">
        <f t="shared" si="3"/>
        <v>86536.90678</v>
      </c>
      <c r="P51" s="10">
        <f t="array" ref="P51">INDEX(Financing!$J$17:$J$79,A51+1)</f>
        <v>20881.22078</v>
      </c>
      <c r="Q51" s="10">
        <f t="array" ref="Q51">INDEX(Financing!$G$17:$G$79,A51+1)</f>
        <v>1647.852638</v>
      </c>
      <c r="R51" s="10">
        <f>IF(C51=0,0,Inputs!$B$18)</f>
        <v>6813</v>
      </c>
      <c r="S51" s="10">
        <f t="shared" si="4"/>
        <v>78076.05414</v>
      </c>
      <c r="T51" s="10">
        <f t="shared" si="10"/>
        <v>0</v>
      </c>
      <c r="U51" s="10">
        <f t="shared" si="5"/>
        <v>78076.05414</v>
      </c>
      <c r="V51" s="10">
        <f>U51*Inputs!$B$17</f>
        <v>17957.49245</v>
      </c>
      <c r="W51" s="10">
        <f t="shared" si="6"/>
        <v>0</v>
      </c>
      <c r="X51" s="10">
        <f t="shared" si="7"/>
        <v>47698.19355</v>
      </c>
      <c r="Y51" s="10">
        <f>IF(A51=Inputs!$B$63,'Startup &amp; Funding'!$B$16,0)</f>
        <v>0</v>
      </c>
      <c r="Z51" s="10">
        <f t="shared" si="11"/>
        <v>1089286.143</v>
      </c>
      <c r="AA51" s="10">
        <f t="array" ref="AA51">INDEX(Financing!$E$17:$E$79,A51+1)+INDEX(Financing!$I$17:$I$79,A51+1)</f>
        <v>501066.2456</v>
      </c>
      <c r="AB51" s="50">
        <f t="shared" ref="AB51:AC51" si="56">AB50</f>
        <v>312.4663677</v>
      </c>
      <c r="AC51" s="50">
        <f t="shared" si="56"/>
        <v>424.0750126</v>
      </c>
      <c r="AD51" s="8" t="str">
        <f>IF(C51=1,"REOPEN",IF(A51=Inputs!$B$15,"DEBT START",IF(AND(C51&gt;0,MOD(C51,12)=0),"YEAR END","")))</f>
        <v/>
      </c>
    </row>
    <row r="52" ht="15.75" customHeight="1">
      <c r="A52" s="50">
        <f t="shared" si="9"/>
        <v>47</v>
      </c>
      <c r="B52" s="50" t="str">
        <f>IF(A52&lt;Inputs!$B$27,"BUILD","OPEN")</f>
        <v>OPEN</v>
      </c>
      <c r="C52" s="50">
        <f>IF(B52="OPEN",A52-Inputs!$B$27+1,0)</f>
        <v>45</v>
      </c>
      <c r="D52" s="50">
        <f>IF(C52=0,0,MIN(Inputs!$B$25,IF(C52=1,ROUND(Inputs!$B$24*Inputs!$B$28,0),IF(C52&lt;=12,ROUND(ROUND(Inputs!$B$24*Inputs!$B$28,0)+(Inputs!$B$70-ROUND(Inputs!$B$24*Inputs!$B$28,0))*(C52-1)/11,0),IF(C52&lt;=24,ROUND(Inputs!$B$70+(Inputs!$B$71-Inputs!$B$70)*(C52-12)/12,0),IF(C52&lt;=36,ROUND(Inputs!$B$71+(Inputs!$B$72-Inputs!$B$71)*(C52-24)/12,0),IF(C52&lt;=48,ROUND(Inputs!$B$72+(Inputs!$B$73-Inputs!$B$72)*(C52-36)/12,0),ROUND(Inputs!$B$73+(Inputs!$B$74-Inputs!$B$73)*MIN(C52-48,12)/12,0))))))))</f>
        <v>781</v>
      </c>
      <c r="E52" s="50">
        <f>IF(C52=0,0,IF(Inputs!$B$50=1,MIN(D52,MAX(0,Inputs!$B$57-Inputs!$B$54)),MIN(D52,Inputs!$B$57)))</f>
        <v>781</v>
      </c>
      <c r="F52" s="50">
        <f>IF(AND(C52&gt;=Inputs!$B$56,Inputs!$B$50=1),Inputs!$B$54,0)</f>
        <v>0</v>
      </c>
      <c r="G52" s="50">
        <f t="shared" si="1"/>
        <v>781</v>
      </c>
      <c r="H52" s="10">
        <f>Inputs!$B$44*(1+Inputs!$B$20)^MAX(0,ROUNDUP(C52/12,0)-1)</f>
        <v>223</v>
      </c>
      <c r="I52" s="10">
        <f>IF(C52=0,0,E52*H52+F52*Inputs!$B$55)</f>
        <v>174163</v>
      </c>
      <c r="J52" s="10">
        <f>IF(C52=0,0,Inputs!$B$47)</f>
        <v>6500</v>
      </c>
      <c r="K52" s="10">
        <f t="shared" si="2"/>
        <v>180663</v>
      </c>
      <c r="L52" s="10">
        <f>K52/(1+Inputs!$B$6)</f>
        <v>153104.2373</v>
      </c>
      <c r="M52" s="10">
        <f>(K52*Inputs!$B$49)/(1+Inputs!$B$6)</f>
        <v>1531.042373</v>
      </c>
      <c r="N52" s="10">
        <f>IF(C52=0,Inputs!$B$34,'Operating Costs'!$C$23*(1+Inputs!$B$19)^MAX(0,ROUNDUP(C52/12,0)-1))</f>
        <v>63913.72881</v>
      </c>
      <c r="O52" s="10">
        <f t="shared" si="3"/>
        <v>87659.4661</v>
      </c>
      <c r="P52" s="10">
        <f t="array" ref="P52">INDEX(Financing!$J$17:$J$79,A52+1)</f>
        <v>20881.22078</v>
      </c>
      <c r="Q52" s="10">
        <f t="array" ref="Q52">INDEX(Financing!$G$17:$G$79,A52+1)</f>
        <v>1587.553889</v>
      </c>
      <c r="R52" s="10">
        <f>IF(C52=0,0,Inputs!$B$18)</f>
        <v>6813</v>
      </c>
      <c r="S52" s="10">
        <f t="shared" si="4"/>
        <v>79258.91221</v>
      </c>
      <c r="T52" s="10">
        <f t="shared" si="10"/>
        <v>0</v>
      </c>
      <c r="U52" s="10">
        <f t="shared" si="5"/>
        <v>79258.91221</v>
      </c>
      <c r="V52" s="10">
        <f>U52*Inputs!$B$17</f>
        <v>18229.54981</v>
      </c>
      <c r="W52" s="10">
        <f t="shared" si="6"/>
        <v>0</v>
      </c>
      <c r="X52" s="10">
        <f t="shared" si="7"/>
        <v>48548.69551</v>
      </c>
      <c r="Y52" s="10">
        <f>IF(A52=Inputs!$B$63,'Startup &amp; Funding'!$B$16,0)</f>
        <v>0</v>
      </c>
      <c r="Z52" s="10">
        <f t="shared" si="11"/>
        <v>1137834.839</v>
      </c>
      <c r="AA52" s="10">
        <f t="array" ref="AA52">INDEX(Financing!$E$17:$E$79,A52+1)+INDEX(Financing!$I$17:$I$79,A52+1)</f>
        <v>481772.5787</v>
      </c>
      <c r="AB52" s="50">
        <f t="shared" ref="AB52:AC52" si="57">AB51</f>
        <v>312.4663677</v>
      </c>
      <c r="AC52" s="50">
        <f t="shared" si="57"/>
        <v>424.0750126</v>
      </c>
      <c r="AD52" s="8" t="str">
        <f>IF(C52=1,"REOPEN",IF(A52=Inputs!$B$15,"DEBT START",IF(AND(C52&gt;0,MOD(C52,12)=0),"YEAR END","")))</f>
        <v/>
      </c>
    </row>
    <row r="53" ht="15.75" customHeight="1">
      <c r="A53" s="50">
        <f t="shared" si="9"/>
        <v>48</v>
      </c>
      <c r="B53" s="50" t="str">
        <f>IF(A53&lt;Inputs!$B$27,"BUILD","OPEN")</f>
        <v>OPEN</v>
      </c>
      <c r="C53" s="50">
        <f>IF(B53="OPEN",A53-Inputs!$B$27+1,0)</f>
        <v>46</v>
      </c>
      <c r="D53" s="50">
        <f>IF(C53=0,0,MIN(Inputs!$B$25,IF(C53=1,ROUND(Inputs!$B$24*Inputs!$B$28,0),IF(C53&lt;=12,ROUND(ROUND(Inputs!$B$24*Inputs!$B$28,0)+(Inputs!$B$70-ROUND(Inputs!$B$24*Inputs!$B$28,0))*(C53-1)/11,0),IF(C53&lt;=24,ROUND(Inputs!$B$70+(Inputs!$B$71-Inputs!$B$70)*(C53-12)/12,0),IF(C53&lt;=36,ROUND(Inputs!$B$71+(Inputs!$B$72-Inputs!$B$71)*(C53-24)/12,0),IF(C53&lt;=48,ROUND(Inputs!$B$72+(Inputs!$B$73-Inputs!$B$72)*(C53-36)/12,0),ROUND(Inputs!$B$73+(Inputs!$B$74-Inputs!$B$73)*MIN(C53-48,12)/12,0))))))))</f>
        <v>788</v>
      </c>
      <c r="E53" s="50">
        <f>IF(C53=0,0,IF(Inputs!$B$50=1,MIN(D53,MAX(0,Inputs!$B$57-Inputs!$B$54)),MIN(D53,Inputs!$B$57)))</f>
        <v>788</v>
      </c>
      <c r="F53" s="50">
        <f>IF(AND(C53&gt;=Inputs!$B$56,Inputs!$B$50=1),Inputs!$B$54,0)</f>
        <v>0</v>
      </c>
      <c r="G53" s="50">
        <f t="shared" si="1"/>
        <v>788</v>
      </c>
      <c r="H53" s="10">
        <f>Inputs!$B$44*(1+Inputs!$B$20)^MAX(0,ROUNDUP(C53/12,0)-1)</f>
        <v>223</v>
      </c>
      <c r="I53" s="10">
        <f>IF(C53=0,0,E53*H53+F53*Inputs!$B$55)</f>
        <v>175724</v>
      </c>
      <c r="J53" s="10">
        <f>IF(C53=0,0,Inputs!$B$47)</f>
        <v>6500</v>
      </c>
      <c r="K53" s="10">
        <f t="shared" si="2"/>
        <v>182224</v>
      </c>
      <c r="L53" s="10">
        <f>K53/(1+Inputs!$B$6)</f>
        <v>154427.1186</v>
      </c>
      <c r="M53" s="10">
        <f>(K53*Inputs!$B$49)/(1+Inputs!$B$6)</f>
        <v>1544.271186</v>
      </c>
      <c r="N53" s="10">
        <f>IF(C53=0,Inputs!$B$34,'Operating Costs'!$C$23*(1+Inputs!$B$19)^MAX(0,ROUNDUP(C53/12,0)-1))</f>
        <v>63913.72881</v>
      </c>
      <c r="O53" s="10">
        <f t="shared" si="3"/>
        <v>88969.11864</v>
      </c>
      <c r="P53" s="10">
        <f t="array" ref="P53">INDEX(Financing!$J$17:$J$79,A53+1)</f>
        <v>20881.22078</v>
      </c>
      <c r="Q53" s="10">
        <f t="array" ref="Q53">INDEX(Financing!$G$17:$G$79,A53+1)</f>
        <v>1527.016457</v>
      </c>
      <c r="R53" s="10">
        <f>IF(C53=0,0,Inputs!$B$18)</f>
        <v>6813</v>
      </c>
      <c r="S53" s="10">
        <f t="shared" si="4"/>
        <v>80629.10219</v>
      </c>
      <c r="T53" s="10">
        <f t="shared" si="10"/>
        <v>0</v>
      </c>
      <c r="U53" s="10">
        <f t="shared" si="5"/>
        <v>80629.10219</v>
      </c>
      <c r="V53" s="10">
        <f>U53*Inputs!$B$17</f>
        <v>18544.6935</v>
      </c>
      <c r="W53" s="10">
        <f t="shared" si="6"/>
        <v>0</v>
      </c>
      <c r="X53" s="10">
        <f t="shared" si="7"/>
        <v>49543.20436</v>
      </c>
      <c r="Y53" s="10">
        <f>IF(A53=Inputs!$B$63,'Startup &amp; Funding'!$B$16,0)</f>
        <v>0</v>
      </c>
      <c r="Z53" s="10">
        <f t="shared" si="11"/>
        <v>1187378.043</v>
      </c>
      <c r="AA53" s="10">
        <f t="array" ref="AA53">INDEX(Financing!$E$17:$E$79,A53+1)+INDEX(Financing!$I$17:$I$79,A53+1)</f>
        <v>462418.3744</v>
      </c>
      <c r="AB53" s="50">
        <f t="shared" ref="AB53:AC53" si="58">AB52</f>
        <v>312.4663677</v>
      </c>
      <c r="AC53" s="50">
        <f t="shared" si="58"/>
        <v>424.0750126</v>
      </c>
      <c r="AD53" s="8" t="str">
        <f>IF(C53=1,"REOPEN",IF(A53=Inputs!$B$15,"DEBT START",IF(AND(C53&gt;0,MOD(C53,12)=0),"YEAR END","")))</f>
        <v/>
      </c>
    </row>
    <row r="54" ht="15.75" customHeight="1">
      <c r="A54" s="50">
        <f t="shared" si="9"/>
        <v>49</v>
      </c>
      <c r="B54" s="50" t="str">
        <f>IF(A54&lt;Inputs!$B$27,"BUILD","OPEN")</f>
        <v>OPEN</v>
      </c>
      <c r="C54" s="50">
        <f>IF(B54="OPEN",A54-Inputs!$B$27+1,0)</f>
        <v>47</v>
      </c>
      <c r="D54" s="50">
        <f>IF(C54=0,0,MIN(Inputs!$B$25,IF(C54=1,ROUND(Inputs!$B$24*Inputs!$B$28,0),IF(C54&lt;=12,ROUND(ROUND(Inputs!$B$24*Inputs!$B$28,0)+(Inputs!$B$70-ROUND(Inputs!$B$24*Inputs!$B$28,0))*(C54-1)/11,0),IF(C54&lt;=24,ROUND(Inputs!$B$70+(Inputs!$B$71-Inputs!$B$70)*(C54-12)/12,0),IF(C54&lt;=36,ROUND(Inputs!$B$71+(Inputs!$B$72-Inputs!$B$71)*(C54-24)/12,0),IF(C54&lt;=48,ROUND(Inputs!$B$72+(Inputs!$B$73-Inputs!$B$72)*(C54-36)/12,0),ROUND(Inputs!$B$73+(Inputs!$B$74-Inputs!$B$73)*MIN(C54-48,12)/12,0))))))))</f>
        <v>794</v>
      </c>
      <c r="E54" s="50">
        <f>IF(C54=0,0,IF(Inputs!$B$50=1,MIN(D54,MAX(0,Inputs!$B$57-Inputs!$B$54)),MIN(D54,Inputs!$B$57)))</f>
        <v>794</v>
      </c>
      <c r="F54" s="50">
        <f>IF(AND(C54&gt;=Inputs!$B$56,Inputs!$B$50=1),Inputs!$B$54,0)</f>
        <v>0</v>
      </c>
      <c r="G54" s="50">
        <f t="shared" si="1"/>
        <v>794</v>
      </c>
      <c r="H54" s="10">
        <f>Inputs!$B$44*(1+Inputs!$B$20)^MAX(0,ROUNDUP(C54/12,0)-1)</f>
        <v>223</v>
      </c>
      <c r="I54" s="10">
        <f>IF(C54=0,0,E54*H54+F54*Inputs!$B$55)</f>
        <v>177062</v>
      </c>
      <c r="J54" s="10">
        <f>IF(C54=0,0,Inputs!$B$47)</f>
        <v>6500</v>
      </c>
      <c r="K54" s="10">
        <f t="shared" si="2"/>
        <v>183562</v>
      </c>
      <c r="L54" s="10">
        <f>K54/(1+Inputs!$B$6)</f>
        <v>155561.0169</v>
      </c>
      <c r="M54" s="10">
        <f>(K54*Inputs!$B$49)/(1+Inputs!$B$6)</f>
        <v>1555.610169</v>
      </c>
      <c r="N54" s="10">
        <f>IF(C54=0,Inputs!$B$34,'Operating Costs'!$C$23*(1+Inputs!$B$19)^MAX(0,ROUNDUP(C54/12,0)-1))</f>
        <v>63913.72881</v>
      </c>
      <c r="O54" s="10">
        <f t="shared" si="3"/>
        <v>90091.67797</v>
      </c>
      <c r="P54" s="10">
        <f t="array" ref="P54">INDEX(Financing!$J$17:$J$79,A54+1)</f>
        <v>20881.22078</v>
      </c>
      <c r="Q54" s="10">
        <f t="array" ref="Q54">INDEX(Financing!$G$17:$G$79,A54+1)</f>
        <v>1466.239399</v>
      </c>
      <c r="R54" s="10">
        <f>IF(C54=0,0,Inputs!$B$18)</f>
        <v>6813</v>
      </c>
      <c r="S54" s="10">
        <f t="shared" si="4"/>
        <v>81812.43857</v>
      </c>
      <c r="T54" s="10">
        <f t="shared" si="10"/>
        <v>0</v>
      </c>
      <c r="U54" s="10">
        <f t="shared" si="5"/>
        <v>81812.43857</v>
      </c>
      <c r="V54" s="10">
        <f>U54*Inputs!$B$17</f>
        <v>18816.86087</v>
      </c>
      <c r="W54" s="10">
        <f t="shared" si="6"/>
        <v>0</v>
      </c>
      <c r="X54" s="10">
        <f t="shared" si="7"/>
        <v>50393.59631</v>
      </c>
      <c r="Y54" s="10">
        <f>IF(A54=Inputs!$B$63,'Startup &amp; Funding'!$B$16,0)</f>
        <v>0</v>
      </c>
      <c r="Z54" s="10">
        <f t="shared" si="11"/>
        <v>1237771.64</v>
      </c>
      <c r="AA54" s="10">
        <f t="array" ref="AA54">INDEX(Financing!$E$17:$E$79,A54+1)+INDEX(Financing!$I$17:$I$79,A54+1)</f>
        <v>443003.393</v>
      </c>
      <c r="AB54" s="50">
        <f t="shared" ref="AB54:AC54" si="59">AB53</f>
        <v>312.4663677</v>
      </c>
      <c r="AC54" s="50">
        <f t="shared" si="59"/>
        <v>424.0750126</v>
      </c>
      <c r="AD54" s="8" t="str">
        <f>IF(C54=1,"REOPEN",IF(A54=Inputs!$B$15,"DEBT START",IF(AND(C54&gt;0,MOD(C54,12)=0),"YEAR END","")))</f>
        <v/>
      </c>
    </row>
    <row r="55" ht="15.75" customHeight="1">
      <c r="A55" s="50">
        <f t="shared" si="9"/>
        <v>50</v>
      </c>
      <c r="B55" s="50" t="str">
        <f>IF(A55&lt;Inputs!$B$27,"BUILD","OPEN")</f>
        <v>OPEN</v>
      </c>
      <c r="C55" s="50">
        <f>IF(B55="OPEN",A55-Inputs!$B$27+1,0)</f>
        <v>48</v>
      </c>
      <c r="D55" s="50">
        <f>IF(C55=0,0,MIN(Inputs!$B$25,IF(C55=1,ROUND(Inputs!$B$24*Inputs!$B$28,0),IF(C55&lt;=12,ROUND(ROUND(Inputs!$B$24*Inputs!$B$28,0)+(Inputs!$B$70-ROUND(Inputs!$B$24*Inputs!$B$28,0))*(C55-1)/11,0),IF(C55&lt;=24,ROUND(Inputs!$B$70+(Inputs!$B$71-Inputs!$B$70)*(C55-12)/12,0),IF(C55&lt;=36,ROUND(Inputs!$B$71+(Inputs!$B$72-Inputs!$B$71)*(C55-24)/12,0),IF(C55&lt;=48,ROUND(Inputs!$B$72+(Inputs!$B$73-Inputs!$B$72)*(C55-36)/12,0),ROUND(Inputs!$B$73+(Inputs!$B$74-Inputs!$B$73)*MIN(C55-48,12)/12,0))))))))</f>
        <v>800</v>
      </c>
      <c r="E55" s="50">
        <f>IF(C55=0,0,IF(Inputs!$B$50=1,MIN(D55,MAX(0,Inputs!$B$57-Inputs!$B$54)),MIN(D55,Inputs!$B$57)))</f>
        <v>800</v>
      </c>
      <c r="F55" s="50">
        <f>IF(AND(C55&gt;=Inputs!$B$56,Inputs!$B$50=1),Inputs!$B$54,0)</f>
        <v>0</v>
      </c>
      <c r="G55" s="50">
        <f t="shared" si="1"/>
        <v>800</v>
      </c>
      <c r="H55" s="10">
        <f>Inputs!$B$44*(1+Inputs!$B$20)^MAX(0,ROUNDUP(C55/12,0)-1)</f>
        <v>223</v>
      </c>
      <c r="I55" s="10">
        <f>IF(C55=0,0,E55*H55+F55*Inputs!$B$55)</f>
        <v>178400</v>
      </c>
      <c r="J55" s="10">
        <f>IF(C55=0,0,Inputs!$B$47)</f>
        <v>6500</v>
      </c>
      <c r="K55" s="10">
        <f t="shared" si="2"/>
        <v>184900</v>
      </c>
      <c r="L55" s="10">
        <f>K55/(1+Inputs!$B$6)</f>
        <v>156694.9153</v>
      </c>
      <c r="M55" s="10">
        <f>(K55*Inputs!$B$49)/(1+Inputs!$B$6)</f>
        <v>1566.949153</v>
      </c>
      <c r="N55" s="10">
        <f>IF(C55=0,Inputs!$B$34,'Operating Costs'!$C$23*(1+Inputs!$B$19)^MAX(0,ROUNDUP(C55/12,0)-1))</f>
        <v>63913.72881</v>
      </c>
      <c r="O55" s="10">
        <f t="shared" si="3"/>
        <v>91214.23729</v>
      </c>
      <c r="P55" s="10">
        <f t="array" ref="P55">INDEX(Financing!$J$17:$J$79,A55+1)</f>
        <v>20881.22078</v>
      </c>
      <c r="Q55" s="10">
        <f t="array" ref="Q55">INDEX(Financing!$G$17:$G$79,A55+1)</f>
        <v>1405.221764</v>
      </c>
      <c r="R55" s="10">
        <f>IF(C55=0,0,Inputs!$B$18)</f>
        <v>6813</v>
      </c>
      <c r="S55" s="10">
        <f t="shared" si="4"/>
        <v>82996.01552</v>
      </c>
      <c r="T55" s="10">
        <f t="shared" si="10"/>
        <v>0</v>
      </c>
      <c r="U55" s="10">
        <f t="shared" si="5"/>
        <v>82996.01552</v>
      </c>
      <c r="V55" s="10">
        <f>U55*Inputs!$B$17</f>
        <v>19089.08357</v>
      </c>
      <c r="W55" s="10">
        <f t="shared" si="6"/>
        <v>0</v>
      </c>
      <c r="X55" s="10">
        <f t="shared" si="7"/>
        <v>51243.93294</v>
      </c>
      <c r="Y55" s="10">
        <f>IF(A55=Inputs!$B$63,'Startup &amp; Funding'!$B$16,0)</f>
        <v>0</v>
      </c>
      <c r="Z55" s="10">
        <f t="shared" si="11"/>
        <v>1289015.573</v>
      </c>
      <c r="AA55" s="10">
        <f t="array" ref="AA55">INDEX(Financing!$E$17:$E$79,A55+1)+INDEX(Financing!$I$17:$I$79,A55+1)</f>
        <v>423527.394</v>
      </c>
      <c r="AB55" s="50">
        <f t="shared" ref="AB55:AC55" si="60">AB54</f>
        <v>312.4663677</v>
      </c>
      <c r="AC55" s="50">
        <f t="shared" si="60"/>
        <v>424.0750126</v>
      </c>
      <c r="AD55" s="8" t="str">
        <f>IF(C55=1,"REOPEN",IF(A55=Inputs!$B$15,"DEBT START",IF(AND(C55&gt;0,MOD(C55,12)=0),"YEAR END","")))</f>
        <v>YEAR END</v>
      </c>
    </row>
    <row r="56" ht="15.75" customHeight="1">
      <c r="A56" s="50">
        <f t="shared" si="9"/>
        <v>51</v>
      </c>
      <c r="B56" s="50" t="str">
        <f>IF(A56&lt;Inputs!$B$27,"BUILD","OPEN")</f>
        <v>OPEN</v>
      </c>
      <c r="C56" s="50">
        <f>IF(B56="OPEN",A56-Inputs!$B$27+1,0)</f>
        <v>49</v>
      </c>
      <c r="D56" s="50">
        <f>IF(C56=0,0,MIN(Inputs!$B$25,IF(C56=1,ROUND(Inputs!$B$24*Inputs!$B$28,0),IF(C56&lt;=12,ROUND(ROUND(Inputs!$B$24*Inputs!$B$28,0)+(Inputs!$B$70-ROUND(Inputs!$B$24*Inputs!$B$28,0))*(C56-1)/11,0),IF(C56&lt;=24,ROUND(Inputs!$B$70+(Inputs!$B$71-Inputs!$B$70)*(C56-12)/12,0),IF(C56&lt;=36,ROUND(Inputs!$B$71+(Inputs!$B$72-Inputs!$B$71)*(C56-24)/12,0),IF(C56&lt;=48,ROUND(Inputs!$B$72+(Inputs!$B$73-Inputs!$B$72)*(C56-36)/12,0),ROUND(Inputs!$B$73+(Inputs!$B$74-Inputs!$B$73)*MIN(C56-48,12)/12,0))))))))</f>
        <v>804</v>
      </c>
      <c r="E56" s="50">
        <f>IF(C56=0,0,IF(Inputs!$B$50=1,MIN(D56,MAX(0,Inputs!$B$57-Inputs!$B$54)),MIN(D56,Inputs!$B$57)))</f>
        <v>804</v>
      </c>
      <c r="F56" s="50">
        <f>IF(AND(C56&gt;=Inputs!$B$56,Inputs!$B$50=1),Inputs!$B$54,0)</f>
        <v>0</v>
      </c>
      <c r="G56" s="50">
        <f t="shared" si="1"/>
        <v>804</v>
      </c>
      <c r="H56" s="10">
        <f>Inputs!$B$44*(1+Inputs!$B$20)^MAX(0,ROUNDUP(C56/12,0)-1)</f>
        <v>223</v>
      </c>
      <c r="I56" s="10">
        <f>IF(C56=0,0,E56*H56+F56*Inputs!$B$55)</f>
        <v>179292</v>
      </c>
      <c r="J56" s="10">
        <f>IF(C56=0,0,Inputs!$B$47)</f>
        <v>6500</v>
      </c>
      <c r="K56" s="10">
        <f t="shared" si="2"/>
        <v>185792</v>
      </c>
      <c r="L56" s="10">
        <f>K56/(1+Inputs!$B$6)</f>
        <v>157450.8475</v>
      </c>
      <c r="M56" s="10">
        <f>(K56*Inputs!$B$49)/(1+Inputs!$B$6)</f>
        <v>1574.508475</v>
      </c>
      <c r="N56" s="10">
        <f>IF(C56=0,Inputs!$B$34,'Operating Costs'!$C$23*(1+Inputs!$B$19)^MAX(0,ROUNDUP(C56/12,0)-1))</f>
        <v>63913.72881</v>
      </c>
      <c r="O56" s="10">
        <f t="shared" si="3"/>
        <v>91962.61017</v>
      </c>
      <c r="P56" s="10">
        <f t="array" ref="P56">INDEX(Financing!$J$17:$J$79,A56+1)</f>
        <v>20881.22078</v>
      </c>
      <c r="Q56" s="10">
        <f t="array" ref="Q56">INDEX(Financing!$G$17:$G$79,A56+1)</f>
        <v>1343.962601</v>
      </c>
      <c r="R56" s="10">
        <f>IF(C56=0,0,Inputs!$B$18)</f>
        <v>6813</v>
      </c>
      <c r="S56" s="10">
        <f t="shared" si="4"/>
        <v>83805.64757</v>
      </c>
      <c r="T56" s="10">
        <f t="shared" si="10"/>
        <v>0</v>
      </c>
      <c r="U56" s="10">
        <f t="shared" si="5"/>
        <v>83805.64757</v>
      </c>
      <c r="V56" s="10">
        <f>U56*Inputs!$B$17</f>
        <v>19275.29894</v>
      </c>
      <c r="W56" s="10">
        <f t="shared" si="6"/>
        <v>0</v>
      </c>
      <c r="X56" s="10">
        <f t="shared" si="7"/>
        <v>51806.09045</v>
      </c>
      <c r="Y56" s="10">
        <f>IF(A56=Inputs!$B$63,'Startup &amp; Funding'!$B$16,0)</f>
        <v>0</v>
      </c>
      <c r="Z56" s="10">
        <f t="shared" si="11"/>
        <v>1340821.663</v>
      </c>
      <c r="AA56" s="10">
        <f t="array" ref="AA56">INDEX(Financing!$E$17:$E$79,A56+1)+INDEX(Financing!$I$17:$I$79,A56+1)</f>
        <v>403990.1358</v>
      </c>
      <c r="AB56" s="50">
        <f t="shared" ref="AB56:AC56" si="61">AB55</f>
        <v>312.4663677</v>
      </c>
      <c r="AC56" s="50">
        <f t="shared" si="61"/>
        <v>424.0750126</v>
      </c>
      <c r="AD56" s="8" t="str">
        <f>IF(C56=1,"REOPEN",IF(A56=Inputs!$B$15,"DEBT START",IF(AND(C56&gt;0,MOD(C56,12)=0),"YEAR END","")))</f>
        <v/>
      </c>
    </row>
    <row r="57" ht="15.75" customHeight="1">
      <c r="A57" s="50">
        <f t="shared" si="9"/>
        <v>52</v>
      </c>
      <c r="B57" s="50" t="str">
        <f>IF(A57&lt;Inputs!$B$27,"BUILD","OPEN")</f>
        <v>OPEN</v>
      </c>
      <c r="C57" s="50">
        <f>IF(B57="OPEN",A57-Inputs!$B$27+1,0)</f>
        <v>50</v>
      </c>
      <c r="D57" s="50">
        <f>IF(C57=0,0,MIN(Inputs!$B$25,IF(C57=1,ROUND(Inputs!$B$24*Inputs!$B$28,0),IF(C57&lt;=12,ROUND(ROUND(Inputs!$B$24*Inputs!$B$28,0)+(Inputs!$B$70-ROUND(Inputs!$B$24*Inputs!$B$28,0))*(C57-1)/11,0),IF(C57&lt;=24,ROUND(Inputs!$B$70+(Inputs!$B$71-Inputs!$B$70)*(C57-12)/12,0),IF(C57&lt;=36,ROUND(Inputs!$B$71+(Inputs!$B$72-Inputs!$B$71)*(C57-24)/12,0),IF(C57&lt;=48,ROUND(Inputs!$B$72+(Inputs!$B$73-Inputs!$B$72)*(C57-36)/12,0),ROUND(Inputs!$B$73+(Inputs!$B$74-Inputs!$B$73)*MIN(C57-48,12)/12,0))))))))</f>
        <v>808</v>
      </c>
      <c r="E57" s="50">
        <f>IF(C57=0,0,IF(Inputs!$B$50=1,MIN(D57,MAX(0,Inputs!$B$57-Inputs!$B$54)),MIN(D57,Inputs!$B$57)))</f>
        <v>808</v>
      </c>
      <c r="F57" s="50">
        <f>IF(AND(C57&gt;=Inputs!$B$56,Inputs!$B$50=1),Inputs!$B$54,0)</f>
        <v>0</v>
      </c>
      <c r="G57" s="50">
        <f t="shared" si="1"/>
        <v>808</v>
      </c>
      <c r="H57" s="10">
        <f>Inputs!$B$44*(1+Inputs!$B$20)^MAX(0,ROUNDUP(C57/12,0)-1)</f>
        <v>223</v>
      </c>
      <c r="I57" s="10">
        <f>IF(C57=0,0,E57*H57+F57*Inputs!$B$55)</f>
        <v>180184</v>
      </c>
      <c r="J57" s="10">
        <f>IF(C57=0,0,Inputs!$B$47)</f>
        <v>6500</v>
      </c>
      <c r="K57" s="10">
        <f t="shared" si="2"/>
        <v>186684</v>
      </c>
      <c r="L57" s="10">
        <f>K57/(1+Inputs!$B$6)</f>
        <v>158206.7797</v>
      </c>
      <c r="M57" s="10">
        <f>(K57*Inputs!$B$49)/(1+Inputs!$B$6)</f>
        <v>1582.067797</v>
      </c>
      <c r="N57" s="10">
        <f>IF(C57=0,Inputs!$B$34,'Operating Costs'!$C$23*(1+Inputs!$B$19)^MAX(0,ROUNDUP(C57/12,0)-1))</f>
        <v>63913.72881</v>
      </c>
      <c r="O57" s="10">
        <f t="shared" si="3"/>
        <v>92710.98305</v>
      </c>
      <c r="P57" s="10">
        <f t="array" ref="P57">INDEX(Financing!$J$17:$J$79,A57+1)</f>
        <v>20881.22078</v>
      </c>
      <c r="Q57" s="10">
        <f t="array" ref="Q57">INDEX(Financing!$G$17:$G$79,A57+1)</f>
        <v>1282.460954</v>
      </c>
      <c r="R57" s="10">
        <f>IF(C57=0,0,Inputs!$B$18)</f>
        <v>6813</v>
      </c>
      <c r="S57" s="10">
        <f t="shared" si="4"/>
        <v>84615.5221</v>
      </c>
      <c r="T57" s="10">
        <f t="shared" si="10"/>
        <v>0</v>
      </c>
      <c r="U57" s="10">
        <f t="shared" si="5"/>
        <v>84615.5221</v>
      </c>
      <c r="V57" s="10">
        <f>U57*Inputs!$B$17</f>
        <v>19461.57008</v>
      </c>
      <c r="W57" s="10">
        <f t="shared" si="6"/>
        <v>0</v>
      </c>
      <c r="X57" s="10">
        <f t="shared" si="7"/>
        <v>52368.19219</v>
      </c>
      <c r="Y57" s="10">
        <f>IF(A57=Inputs!$B$63,'Startup &amp; Funding'!$B$16,0)</f>
        <v>0</v>
      </c>
      <c r="Z57" s="10">
        <f t="shared" si="11"/>
        <v>1393189.855</v>
      </c>
      <c r="AA57" s="10">
        <f t="array" ref="AA57">INDEX(Financing!$E$17:$E$79,A57+1)+INDEX(Financing!$I$17:$I$79,A57+1)</f>
        <v>384391.376</v>
      </c>
      <c r="AB57" s="50">
        <f t="shared" ref="AB57:AC57" si="62">AB56</f>
        <v>312.4663677</v>
      </c>
      <c r="AC57" s="50">
        <f t="shared" si="62"/>
        <v>424.0750126</v>
      </c>
      <c r="AD57" s="8" t="str">
        <f>IF(C57=1,"REOPEN",IF(A57=Inputs!$B$15,"DEBT START",IF(AND(C57&gt;0,MOD(C57,12)=0),"YEAR END","")))</f>
        <v/>
      </c>
    </row>
    <row r="58" ht="15.75" customHeight="1">
      <c r="A58" s="50">
        <f t="shared" si="9"/>
        <v>53</v>
      </c>
      <c r="B58" s="50" t="str">
        <f>IF(A58&lt;Inputs!$B$27,"BUILD","OPEN")</f>
        <v>OPEN</v>
      </c>
      <c r="C58" s="50">
        <f>IF(B58="OPEN",A58-Inputs!$B$27+1,0)</f>
        <v>51</v>
      </c>
      <c r="D58" s="50">
        <f>IF(C58=0,0,MIN(Inputs!$B$25,IF(C58=1,ROUND(Inputs!$B$24*Inputs!$B$28,0),IF(C58&lt;=12,ROUND(ROUND(Inputs!$B$24*Inputs!$B$28,0)+(Inputs!$B$70-ROUND(Inputs!$B$24*Inputs!$B$28,0))*(C58-1)/11,0),IF(C58&lt;=24,ROUND(Inputs!$B$70+(Inputs!$B$71-Inputs!$B$70)*(C58-12)/12,0),IF(C58&lt;=36,ROUND(Inputs!$B$71+(Inputs!$B$72-Inputs!$B$71)*(C58-24)/12,0),IF(C58&lt;=48,ROUND(Inputs!$B$72+(Inputs!$B$73-Inputs!$B$72)*(C58-36)/12,0),ROUND(Inputs!$B$73+(Inputs!$B$74-Inputs!$B$73)*MIN(C58-48,12)/12,0))))))))</f>
        <v>813</v>
      </c>
      <c r="E58" s="50">
        <f>IF(C58=0,0,IF(Inputs!$B$50=1,MIN(D58,MAX(0,Inputs!$B$57-Inputs!$B$54)),MIN(D58,Inputs!$B$57)))</f>
        <v>813</v>
      </c>
      <c r="F58" s="50">
        <f>IF(AND(C58&gt;=Inputs!$B$56,Inputs!$B$50=1),Inputs!$B$54,0)</f>
        <v>0</v>
      </c>
      <c r="G58" s="50">
        <f t="shared" si="1"/>
        <v>813</v>
      </c>
      <c r="H58" s="10">
        <f>Inputs!$B$44*(1+Inputs!$B$20)^MAX(0,ROUNDUP(C58/12,0)-1)</f>
        <v>223</v>
      </c>
      <c r="I58" s="10">
        <f>IF(C58=0,0,E58*H58+F58*Inputs!$B$55)</f>
        <v>181299</v>
      </c>
      <c r="J58" s="10">
        <f>IF(C58=0,0,Inputs!$B$47)</f>
        <v>6500</v>
      </c>
      <c r="K58" s="10">
        <f t="shared" si="2"/>
        <v>187799</v>
      </c>
      <c r="L58" s="10">
        <f>K58/(1+Inputs!$B$6)</f>
        <v>159151.6949</v>
      </c>
      <c r="M58" s="10">
        <f>(K58*Inputs!$B$49)/(1+Inputs!$B$6)</f>
        <v>1591.516949</v>
      </c>
      <c r="N58" s="10">
        <f>IF(C58=0,Inputs!$B$34,'Operating Costs'!$C$23*(1+Inputs!$B$19)^MAX(0,ROUNDUP(C58/12,0)-1))</f>
        <v>63913.72881</v>
      </c>
      <c r="O58" s="10">
        <f t="shared" si="3"/>
        <v>93646.44915</v>
      </c>
      <c r="P58" s="10">
        <f t="array" ref="P58">INDEX(Financing!$J$17:$J$79,A58+1)</f>
        <v>20881.22078</v>
      </c>
      <c r="Q58" s="10">
        <f t="array" ref="Q58">INDEX(Financing!$G$17:$G$79,A58+1)</f>
        <v>1220.715863</v>
      </c>
      <c r="R58" s="10">
        <f>IF(C58=0,0,Inputs!$B$18)</f>
        <v>6813</v>
      </c>
      <c r="S58" s="10">
        <f t="shared" si="4"/>
        <v>85612.73329</v>
      </c>
      <c r="T58" s="10">
        <f t="shared" si="10"/>
        <v>0</v>
      </c>
      <c r="U58" s="10">
        <f t="shared" si="5"/>
        <v>85612.73329</v>
      </c>
      <c r="V58" s="10">
        <f>U58*Inputs!$B$17</f>
        <v>19690.92866</v>
      </c>
      <c r="W58" s="10">
        <f t="shared" si="6"/>
        <v>0</v>
      </c>
      <c r="X58" s="10">
        <f t="shared" si="7"/>
        <v>53074.29971</v>
      </c>
      <c r="Y58" s="10">
        <f>IF(A58=Inputs!$B$63,'Startup &amp; Funding'!$B$16,0)</f>
        <v>0</v>
      </c>
      <c r="Z58" s="10">
        <f t="shared" si="11"/>
        <v>1446264.155</v>
      </c>
      <c r="AA58" s="10">
        <f t="array" ref="AA58">INDEX(Financing!$E$17:$E$79,A58+1)+INDEX(Financing!$I$17:$I$79,A58+1)</f>
        <v>364730.871</v>
      </c>
      <c r="AB58" s="50">
        <f t="shared" ref="AB58:AC58" si="63">AB57</f>
        <v>312.4663677</v>
      </c>
      <c r="AC58" s="50">
        <f t="shared" si="63"/>
        <v>424.0750126</v>
      </c>
      <c r="AD58" s="8" t="str">
        <f>IF(C58=1,"REOPEN",IF(A58=Inputs!$B$15,"DEBT START",IF(AND(C58&gt;0,MOD(C58,12)=0),"YEAR END","")))</f>
        <v/>
      </c>
    </row>
    <row r="59" ht="15.75" customHeight="1">
      <c r="A59" s="50">
        <f t="shared" si="9"/>
        <v>54</v>
      </c>
      <c r="B59" s="50" t="str">
        <f>IF(A59&lt;Inputs!$B$27,"BUILD","OPEN")</f>
        <v>OPEN</v>
      </c>
      <c r="C59" s="50">
        <f>IF(B59="OPEN",A59-Inputs!$B$27+1,0)</f>
        <v>52</v>
      </c>
      <c r="D59" s="50">
        <f>IF(C59=0,0,MIN(Inputs!$B$25,IF(C59=1,ROUND(Inputs!$B$24*Inputs!$B$28,0),IF(C59&lt;=12,ROUND(ROUND(Inputs!$B$24*Inputs!$B$28,0)+(Inputs!$B$70-ROUND(Inputs!$B$24*Inputs!$B$28,0))*(C59-1)/11,0),IF(C59&lt;=24,ROUND(Inputs!$B$70+(Inputs!$B$71-Inputs!$B$70)*(C59-12)/12,0),IF(C59&lt;=36,ROUND(Inputs!$B$71+(Inputs!$B$72-Inputs!$B$71)*(C59-24)/12,0),IF(C59&lt;=48,ROUND(Inputs!$B$72+(Inputs!$B$73-Inputs!$B$72)*(C59-36)/12,0),ROUND(Inputs!$B$73+(Inputs!$B$74-Inputs!$B$73)*MIN(C59-48,12)/12,0))))))))</f>
        <v>817</v>
      </c>
      <c r="E59" s="50">
        <f>IF(C59=0,0,IF(Inputs!$B$50=1,MIN(D59,MAX(0,Inputs!$B$57-Inputs!$B$54)),MIN(D59,Inputs!$B$57)))</f>
        <v>817</v>
      </c>
      <c r="F59" s="50">
        <f>IF(AND(C59&gt;=Inputs!$B$56,Inputs!$B$50=1),Inputs!$B$54,0)</f>
        <v>0</v>
      </c>
      <c r="G59" s="50">
        <f t="shared" si="1"/>
        <v>817</v>
      </c>
      <c r="H59" s="10">
        <f>Inputs!$B$44*(1+Inputs!$B$20)^MAX(0,ROUNDUP(C59/12,0)-1)</f>
        <v>223</v>
      </c>
      <c r="I59" s="10">
        <f>IF(C59=0,0,E59*H59+F59*Inputs!$B$55)</f>
        <v>182191</v>
      </c>
      <c r="J59" s="10">
        <f>IF(C59=0,0,Inputs!$B$47)</f>
        <v>6500</v>
      </c>
      <c r="K59" s="10">
        <f t="shared" si="2"/>
        <v>188691</v>
      </c>
      <c r="L59" s="10">
        <f>K59/(1+Inputs!$B$6)</f>
        <v>159907.6271</v>
      </c>
      <c r="M59" s="10">
        <f>(K59*Inputs!$B$49)/(1+Inputs!$B$6)</f>
        <v>1599.076271</v>
      </c>
      <c r="N59" s="10">
        <f>IF(C59=0,Inputs!$B$34,'Operating Costs'!$C$23*(1+Inputs!$B$19)^MAX(0,ROUNDUP(C59/12,0)-1))</f>
        <v>63913.72881</v>
      </c>
      <c r="O59" s="10">
        <f t="shared" si="3"/>
        <v>94394.82203</v>
      </c>
      <c r="P59" s="10">
        <f t="array" ref="P59">INDEX(Financing!$J$17:$J$79,A59+1)</f>
        <v>20881.22078</v>
      </c>
      <c r="Q59" s="10">
        <f t="array" ref="Q59">INDEX(Financing!$G$17:$G$79,A59+1)</f>
        <v>1158.726365</v>
      </c>
      <c r="R59" s="10">
        <f>IF(C59=0,0,Inputs!$B$18)</f>
        <v>6813</v>
      </c>
      <c r="S59" s="10">
        <f t="shared" si="4"/>
        <v>86423.09567</v>
      </c>
      <c r="T59" s="10">
        <f t="shared" si="10"/>
        <v>0</v>
      </c>
      <c r="U59" s="10">
        <f t="shared" si="5"/>
        <v>86423.09567</v>
      </c>
      <c r="V59" s="10">
        <f>U59*Inputs!$B$17</f>
        <v>19877.312</v>
      </c>
      <c r="W59" s="10">
        <f t="shared" si="6"/>
        <v>0</v>
      </c>
      <c r="X59" s="10">
        <f t="shared" si="7"/>
        <v>53636.28925</v>
      </c>
      <c r="Y59" s="10">
        <f>IF(A59=Inputs!$B$63,'Startup &amp; Funding'!$B$16,0)</f>
        <v>0</v>
      </c>
      <c r="Z59" s="10">
        <f t="shared" si="11"/>
        <v>1499900.444</v>
      </c>
      <c r="AA59" s="10">
        <f t="array" ref="AA59">INDEX(Financing!$E$17:$E$79,A59+1)+INDEX(Financing!$I$17:$I$79,A59+1)</f>
        <v>345008.3766</v>
      </c>
      <c r="AB59" s="50">
        <f t="shared" ref="AB59:AC59" si="64">AB58</f>
        <v>312.4663677</v>
      </c>
      <c r="AC59" s="50">
        <f t="shared" si="64"/>
        <v>424.0750126</v>
      </c>
      <c r="AD59" s="8" t="str">
        <f>IF(C59=1,"REOPEN",IF(A59=Inputs!$B$15,"DEBT START",IF(AND(C59&gt;0,MOD(C59,12)=0),"YEAR END","")))</f>
        <v/>
      </c>
    </row>
    <row r="60" ht="15.75" customHeight="1">
      <c r="A60" s="50">
        <f t="shared" si="9"/>
        <v>55</v>
      </c>
      <c r="B60" s="50" t="str">
        <f>IF(A60&lt;Inputs!$B$27,"BUILD","OPEN")</f>
        <v>OPEN</v>
      </c>
      <c r="C60" s="50">
        <f>IF(B60="OPEN",A60-Inputs!$B$27+1,0)</f>
        <v>53</v>
      </c>
      <c r="D60" s="50">
        <f>IF(C60=0,0,MIN(Inputs!$B$25,IF(C60=1,ROUND(Inputs!$B$24*Inputs!$B$28,0),IF(C60&lt;=12,ROUND(ROUND(Inputs!$B$24*Inputs!$B$28,0)+(Inputs!$B$70-ROUND(Inputs!$B$24*Inputs!$B$28,0))*(C60-1)/11,0),IF(C60&lt;=24,ROUND(Inputs!$B$70+(Inputs!$B$71-Inputs!$B$70)*(C60-12)/12,0),IF(C60&lt;=36,ROUND(Inputs!$B$71+(Inputs!$B$72-Inputs!$B$71)*(C60-24)/12,0),IF(C60&lt;=48,ROUND(Inputs!$B$72+(Inputs!$B$73-Inputs!$B$72)*(C60-36)/12,0),ROUND(Inputs!$B$73+(Inputs!$B$74-Inputs!$B$73)*MIN(C60-48,12)/12,0))))))))</f>
        <v>821</v>
      </c>
      <c r="E60" s="50">
        <f>IF(C60=0,0,IF(Inputs!$B$50=1,MIN(D60,MAX(0,Inputs!$B$57-Inputs!$B$54)),MIN(D60,Inputs!$B$57)))</f>
        <v>821</v>
      </c>
      <c r="F60" s="50">
        <f>IF(AND(C60&gt;=Inputs!$B$56,Inputs!$B$50=1),Inputs!$B$54,0)</f>
        <v>0</v>
      </c>
      <c r="G60" s="50">
        <f t="shared" si="1"/>
        <v>821</v>
      </c>
      <c r="H60" s="10">
        <f>Inputs!$B$44*(1+Inputs!$B$20)^MAX(0,ROUNDUP(C60/12,0)-1)</f>
        <v>223</v>
      </c>
      <c r="I60" s="10">
        <f>IF(C60=0,0,E60*H60+F60*Inputs!$B$55)</f>
        <v>183083</v>
      </c>
      <c r="J60" s="10">
        <f>IF(C60=0,0,Inputs!$B$47)</f>
        <v>6500</v>
      </c>
      <c r="K60" s="10">
        <f t="shared" si="2"/>
        <v>189583</v>
      </c>
      <c r="L60" s="10">
        <f>K60/(1+Inputs!$B$6)</f>
        <v>160663.5593</v>
      </c>
      <c r="M60" s="10">
        <f>(K60*Inputs!$B$49)/(1+Inputs!$B$6)</f>
        <v>1606.635593</v>
      </c>
      <c r="N60" s="10">
        <f>IF(C60=0,Inputs!$B$34,'Operating Costs'!$C$23*(1+Inputs!$B$19)^MAX(0,ROUNDUP(C60/12,0)-1))</f>
        <v>63913.72881</v>
      </c>
      <c r="O60" s="10">
        <f t="shared" si="3"/>
        <v>95143.19492</v>
      </c>
      <c r="P60" s="10">
        <f t="array" ref="P60">INDEX(Financing!$J$17:$J$79,A60+1)</f>
        <v>20881.22078</v>
      </c>
      <c r="Q60" s="10">
        <f t="array" ref="Q60">INDEX(Financing!$G$17:$G$79,A60+1)</f>
        <v>1096.491491</v>
      </c>
      <c r="R60" s="10">
        <f>IF(C60=0,0,Inputs!$B$18)</f>
        <v>6813</v>
      </c>
      <c r="S60" s="10">
        <f t="shared" si="4"/>
        <v>87233.70342</v>
      </c>
      <c r="T60" s="10">
        <f t="shared" si="10"/>
        <v>0</v>
      </c>
      <c r="U60" s="10">
        <f t="shared" si="5"/>
        <v>87233.70342</v>
      </c>
      <c r="V60" s="10">
        <f>U60*Inputs!$B$17</f>
        <v>20063.75179</v>
      </c>
      <c r="W60" s="10">
        <f t="shared" si="6"/>
        <v>0</v>
      </c>
      <c r="X60" s="10">
        <f t="shared" si="7"/>
        <v>54198.22235</v>
      </c>
      <c r="Y60" s="10">
        <f>IF(A60=Inputs!$B$63,'Startup &amp; Funding'!$B$16,0)</f>
        <v>0</v>
      </c>
      <c r="Z60" s="10">
        <f t="shared" si="11"/>
        <v>1554098.667</v>
      </c>
      <c r="AA60" s="10">
        <f t="array" ref="AA60">INDEX(Financing!$E$17:$E$79,A60+1)+INDEX(Financing!$I$17:$I$79,A60+1)</f>
        <v>325223.6473</v>
      </c>
      <c r="AB60" s="50">
        <f t="shared" ref="AB60:AC60" si="65">AB59</f>
        <v>312.4663677</v>
      </c>
      <c r="AC60" s="50">
        <f t="shared" si="65"/>
        <v>424.0750126</v>
      </c>
      <c r="AD60" s="8" t="str">
        <f>IF(C60=1,"REOPEN",IF(A60=Inputs!$B$15,"DEBT START",IF(AND(C60&gt;0,MOD(C60,12)=0),"YEAR END","")))</f>
        <v/>
      </c>
    </row>
    <row r="61" ht="15.75" customHeight="1">
      <c r="A61" s="50">
        <f t="shared" si="9"/>
        <v>56</v>
      </c>
      <c r="B61" s="50" t="str">
        <f>IF(A61&lt;Inputs!$B$27,"BUILD","OPEN")</f>
        <v>OPEN</v>
      </c>
      <c r="C61" s="50">
        <f>IF(B61="OPEN",A61-Inputs!$B$27+1,0)</f>
        <v>54</v>
      </c>
      <c r="D61" s="50">
        <f>IF(C61=0,0,MIN(Inputs!$B$25,IF(C61=1,ROUND(Inputs!$B$24*Inputs!$B$28,0),IF(C61&lt;=12,ROUND(ROUND(Inputs!$B$24*Inputs!$B$28,0)+(Inputs!$B$70-ROUND(Inputs!$B$24*Inputs!$B$28,0))*(C61-1)/11,0),IF(C61&lt;=24,ROUND(Inputs!$B$70+(Inputs!$B$71-Inputs!$B$70)*(C61-12)/12,0),IF(C61&lt;=36,ROUND(Inputs!$B$71+(Inputs!$B$72-Inputs!$B$71)*(C61-24)/12,0),IF(C61&lt;=48,ROUND(Inputs!$B$72+(Inputs!$B$73-Inputs!$B$72)*(C61-36)/12,0),ROUND(Inputs!$B$73+(Inputs!$B$74-Inputs!$B$73)*MIN(C61-48,12)/12,0))))))))</f>
        <v>825</v>
      </c>
      <c r="E61" s="50">
        <f>IF(C61=0,0,IF(Inputs!$B$50=1,MIN(D61,MAX(0,Inputs!$B$57-Inputs!$B$54)),MIN(D61,Inputs!$B$57)))</f>
        <v>825</v>
      </c>
      <c r="F61" s="50">
        <f>IF(AND(C61&gt;=Inputs!$B$56,Inputs!$B$50=1),Inputs!$B$54,0)</f>
        <v>0</v>
      </c>
      <c r="G61" s="50">
        <f t="shared" si="1"/>
        <v>825</v>
      </c>
      <c r="H61" s="10">
        <f>Inputs!$B$44*(1+Inputs!$B$20)^MAX(0,ROUNDUP(C61/12,0)-1)</f>
        <v>223</v>
      </c>
      <c r="I61" s="10">
        <f>IF(C61=0,0,E61*H61+F61*Inputs!$B$55)</f>
        <v>183975</v>
      </c>
      <c r="J61" s="10">
        <f>IF(C61=0,0,Inputs!$B$47)</f>
        <v>6500</v>
      </c>
      <c r="K61" s="10">
        <f t="shared" si="2"/>
        <v>190475</v>
      </c>
      <c r="L61" s="10">
        <f>K61/(1+Inputs!$B$6)</f>
        <v>161419.4915</v>
      </c>
      <c r="M61" s="10">
        <f>(K61*Inputs!$B$49)/(1+Inputs!$B$6)</f>
        <v>1614.194915</v>
      </c>
      <c r="N61" s="10">
        <f>IF(C61=0,Inputs!$B$34,'Operating Costs'!$C$23*(1+Inputs!$B$19)^MAX(0,ROUNDUP(C61/12,0)-1))</f>
        <v>63913.72881</v>
      </c>
      <c r="O61" s="10">
        <f t="shared" si="3"/>
        <v>95891.5678</v>
      </c>
      <c r="P61" s="10">
        <f t="array" ref="P61">INDEX(Financing!$J$17:$J$79,A61+1)</f>
        <v>20881.22078</v>
      </c>
      <c r="Q61" s="10">
        <f t="array" ref="Q61">INDEX(Financing!$G$17:$G$79,A61+1)</f>
        <v>1034.010271</v>
      </c>
      <c r="R61" s="10">
        <f>IF(C61=0,0,Inputs!$B$18)</f>
        <v>6813</v>
      </c>
      <c r="S61" s="10">
        <f t="shared" si="4"/>
        <v>88044.55753</v>
      </c>
      <c r="T61" s="10">
        <f t="shared" si="10"/>
        <v>0</v>
      </c>
      <c r="U61" s="10">
        <f t="shared" si="5"/>
        <v>88044.55753</v>
      </c>
      <c r="V61" s="10">
        <f>U61*Inputs!$B$17</f>
        <v>20250.24823</v>
      </c>
      <c r="W61" s="10">
        <f t="shared" si="6"/>
        <v>0</v>
      </c>
      <c r="X61" s="10">
        <f t="shared" si="7"/>
        <v>54760.09878</v>
      </c>
      <c r="Y61" s="10">
        <f>IF(A61=Inputs!$B$63,'Startup &amp; Funding'!$B$16,0)</f>
        <v>0</v>
      </c>
      <c r="Z61" s="10">
        <f t="shared" si="11"/>
        <v>1608858.765</v>
      </c>
      <c r="AA61" s="10">
        <f t="array" ref="AA61">INDEX(Financing!$E$17:$E$79,A61+1)+INDEX(Financing!$I$17:$I$79,A61+1)</f>
        <v>305376.4368</v>
      </c>
      <c r="AB61" s="50">
        <f t="shared" ref="AB61:AC61" si="66">AB60</f>
        <v>312.4663677</v>
      </c>
      <c r="AC61" s="50">
        <f t="shared" si="66"/>
        <v>424.0750126</v>
      </c>
      <c r="AD61" s="8" t="str">
        <f>IF(C61=1,"REOPEN",IF(A61=Inputs!$B$15,"DEBT START",IF(AND(C61&gt;0,MOD(C61,12)=0),"YEAR END","")))</f>
        <v/>
      </c>
    </row>
    <row r="62" ht="15.75" customHeight="1">
      <c r="A62" s="50">
        <f t="shared" si="9"/>
        <v>57</v>
      </c>
      <c r="B62" s="50" t="str">
        <f>IF(A62&lt;Inputs!$B$27,"BUILD","OPEN")</f>
        <v>OPEN</v>
      </c>
      <c r="C62" s="50">
        <f>IF(B62="OPEN",A62-Inputs!$B$27+1,0)</f>
        <v>55</v>
      </c>
      <c r="D62" s="50">
        <f>IF(C62=0,0,MIN(Inputs!$B$25,IF(C62=1,ROUND(Inputs!$B$24*Inputs!$B$28,0),IF(C62&lt;=12,ROUND(ROUND(Inputs!$B$24*Inputs!$B$28,0)+(Inputs!$B$70-ROUND(Inputs!$B$24*Inputs!$B$28,0))*(C62-1)/11,0),IF(C62&lt;=24,ROUND(Inputs!$B$70+(Inputs!$B$71-Inputs!$B$70)*(C62-12)/12,0),IF(C62&lt;=36,ROUND(Inputs!$B$71+(Inputs!$B$72-Inputs!$B$71)*(C62-24)/12,0),IF(C62&lt;=48,ROUND(Inputs!$B$72+(Inputs!$B$73-Inputs!$B$72)*(C62-36)/12,0),ROUND(Inputs!$B$73+(Inputs!$B$74-Inputs!$B$73)*MIN(C62-48,12)/12,0))))))))</f>
        <v>829</v>
      </c>
      <c r="E62" s="50">
        <f>IF(C62=0,0,IF(Inputs!$B$50=1,MIN(D62,MAX(0,Inputs!$B$57-Inputs!$B$54)),MIN(D62,Inputs!$B$57)))</f>
        <v>829</v>
      </c>
      <c r="F62" s="50">
        <f>IF(AND(C62&gt;=Inputs!$B$56,Inputs!$B$50=1),Inputs!$B$54,0)</f>
        <v>0</v>
      </c>
      <c r="G62" s="50">
        <f t="shared" si="1"/>
        <v>829</v>
      </c>
      <c r="H62" s="10">
        <f>Inputs!$B$44*(1+Inputs!$B$20)^MAX(0,ROUNDUP(C62/12,0)-1)</f>
        <v>223</v>
      </c>
      <c r="I62" s="10">
        <f>IF(C62=0,0,E62*H62+F62*Inputs!$B$55)</f>
        <v>184867</v>
      </c>
      <c r="J62" s="10">
        <f>IF(C62=0,0,Inputs!$B$47)</f>
        <v>6500</v>
      </c>
      <c r="K62" s="10">
        <f t="shared" si="2"/>
        <v>191367</v>
      </c>
      <c r="L62" s="10">
        <f>K62/(1+Inputs!$B$6)</f>
        <v>162175.4237</v>
      </c>
      <c r="M62" s="10">
        <f>(K62*Inputs!$B$49)/(1+Inputs!$B$6)</f>
        <v>1621.754237</v>
      </c>
      <c r="N62" s="10">
        <f>IF(C62=0,Inputs!$B$34,'Operating Costs'!$C$23*(1+Inputs!$B$19)^MAX(0,ROUNDUP(C62/12,0)-1))</f>
        <v>63913.72881</v>
      </c>
      <c r="O62" s="10">
        <f t="shared" si="3"/>
        <v>96639.94068</v>
      </c>
      <c r="P62" s="10">
        <f t="array" ref="P62">INDEX(Financing!$J$17:$J$79,A62+1)</f>
        <v>20881.22078</v>
      </c>
      <c r="Q62" s="10">
        <f t="array" ref="Q62">INDEX(Financing!$G$17:$G$79,A62+1)</f>
        <v>971.2817291</v>
      </c>
      <c r="R62" s="10">
        <f>IF(C62=0,0,Inputs!$B$18)</f>
        <v>6813</v>
      </c>
      <c r="S62" s="10">
        <f t="shared" si="4"/>
        <v>88855.65895</v>
      </c>
      <c r="T62" s="10">
        <f t="shared" si="10"/>
        <v>0</v>
      </c>
      <c r="U62" s="10">
        <f t="shared" si="5"/>
        <v>88855.65895</v>
      </c>
      <c r="V62" s="10">
        <f>U62*Inputs!$B$17</f>
        <v>20436.80156</v>
      </c>
      <c r="W62" s="10">
        <f t="shared" si="6"/>
        <v>0</v>
      </c>
      <c r="X62" s="10">
        <f t="shared" si="7"/>
        <v>55321.91834</v>
      </c>
      <c r="Y62" s="10">
        <f>IF(A62=Inputs!$B$63,'Startup &amp; Funding'!$B$16,0)</f>
        <v>0</v>
      </c>
      <c r="Z62" s="10">
        <f t="shared" si="11"/>
        <v>1664180.684</v>
      </c>
      <c r="AA62" s="10">
        <f t="array" ref="AA62">INDEX(Financing!$E$17:$E$79,A62+1)+INDEX(Financing!$I$17:$I$79,A62+1)</f>
        <v>285466.4978</v>
      </c>
      <c r="AB62" s="50">
        <f t="shared" ref="AB62:AC62" si="67">AB61</f>
        <v>312.4663677</v>
      </c>
      <c r="AC62" s="50">
        <f t="shared" si="67"/>
        <v>424.0750126</v>
      </c>
      <c r="AD62" s="8" t="str">
        <f>IF(C62=1,"REOPEN",IF(A62=Inputs!$B$15,"DEBT START",IF(AND(C62&gt;0,MOD(C62,12)=0),"YEAR END","")))</f>
        <v/>
      </c>
    </row>
    <row r="63" ht="15.75" customHeight="1">
      <c r="A63" s="50">
        <f t="shared" si="9"/>
        <v>58</v>
      </c>
      <c r="B63" s="50" t="str">
        <f>IF(A63&lt;Inputs!$B$27,"BUILD","OPEN")</f>
        <v>OPEN</v>
      </c>
      <c r="C63" s="50">
        <f>IF(B63="OPEN",A63-Inputs!$B$27+1,0)</f>
        <v>56</v>
      </c>
      <c r="D63" s="50">
        <f>IF(C63=0,0,MIN(Inputs!$B$25,IF(C63=1,ROUND(Inputs!$B$24*Inputs!$B$28,0),IF(C63&lt;=12,ROUND(ROUND(Inputs!$B$24*Inputs!$B$28,0)+(Inputs!$B$70-ROUND(Inputs!$B$24*Inputs!$B$28,0))*(C63-1)/11,0),IF(C63&lt;=24,ROUND(Inputs!$B$70+(Inputs!$B$71-Inputs!$B$70)*(C63-12)/12,0),IF(C63&lt;=36,ROUND(Inputs!$B$71+(Inputs!$B$72-Inputs!$B$71)*(C63-24)/12,0),IF(C63&lt;=48,ROUND(Inputs!$B$72+(Inputs!$B$73-Inputs!$B$72)*(C63-36)/12,0),ROUND(Inputs!$B$73+(Inputs!$B$74-Inputs!$B$73)*MIN(C63-48,12)/12,0))))))))</f>
        <v>833</v>
      </c>
      <c r="E63" s="50">
        <f>IF(C63=0,0,IF(Inputs!$B$50=1,MIN(D63,MAX(0,Inputs!$B$57-Inputs!$B$54)),MIN(D63,Inputs!$B$57)))</f>
        <v>833</v>
      </c>
      <c r="F63" s="50">
        <f>IF(AND(C63&gt;=Inputs!$B$56,Inputs!$B$50=1),Inputs!$B$54,0)</f>
        <v>0</v>
      </c>
      <c r="G63" s="50">
        <f t="shared" si="1"/>
        <v>833</v>
      </c>
      <c r="H63" s="10">
        <f>Inputs!$B$44*(1+Inputs!$B$20)^MAX(0,ROUNDUP(C63/12,0)-1)</f>
        <v>223</v>
      </c>
      <c r="I63" s="10">
        <f>IF(C63=0,0,E63*H63+F63*Inputs!$B$55)</f>
        <v>185759</v>
      </c>
      <c r="J63" s="10">
        <f>IF(C63=0,0,Inputs!$B$47)</f>
        <v>6500</v>
      </c>
      <c r="K63" s="10">
        <f t="shared" si="2"/>
        <v>192259</v>
      </c>
      <c r="L63" s="10">
        <f>K63/(1+Inputs!$B$6)</f>
        <v>162931.3559</v>
      </c>
      <c r="M63" s="10">
        <f>(K63*Inputs!$B$49)/(1+Inputs!$B$6)</f>
        <v>1629.313559</v>
      </c>
      <c r="N63" s="10">
        <f>IF(C63=0,Inputs!$B$34,'Operating Costs'!$C$23*(1+Inputs!$B$19)^MAX(0,ROUNDUP(C63/12,0)-1))</f>
        <v>63913.72881</v>
      </c>
      <c r="O63" s="10">
        <f t="shared" si="3"/>
        <v>97388.31356</v>
      </c>
      <c r="P63" s="10">
        <f t="array" ref="P63">INDEX(Financing!$J$17:$J$79,A63+1)</f>
        <v>20881.22078</v>
      </c>
      <c r="Q63" s="10">
        <f t="array" ref="Q63">INDEX(Financing!$G$17:$G$79,A63+1)</f>
        <v>908.304887</v>
      </c>
      <c r="R63" s="10">
        <f>IF(C63=0,0,Inputs!$B$18)</f>
        <v>6813</v>
      </c>
      <c r="S63" s="10">
        <f t="shared" si="4"/>
        <v>89667.00867</v>
      </c>
      <c r="T63" s="10">
        <f t="shared" si="10"/>
        <v>0</v>
      </c>
      <c r="U63" s="10">
        <f t="shared" si="5"/>
        <v>89667.00867</v>
      </c>
      <c r="V63" s="10">
        <f>U63*Inputs!$B$17</f>
        <v>20623.41199</v>
      </c>
      <c r="W63" s="10">
        <f t="shared" si="6"/>
        <v>0</v>
      </c>
      <c r="X63" s="10">
        <f t="shared" si="7"/>
        <v>55883.68078</v>
      </c>
      <c r="Y63" s="10">
        <f>IF(A63=Inputs!$B$63,'Startup &amp; Funding'!$B$16,0)</f>
        <v>0</v>
      </c>
      <c r="Z63" s="10">
        <f t="shared" si="11"/>
        <v>1720064.364</v>
      </c>
      <c r="AA63" s="10">
        <f t="array" ref="AA63">INDEX(Financing!$E$17:$E$79,A63+1)+INDEX(Financing!$I$17:$I$79,A63+1)</f>
        <v>265493.5819</v>
      </c>
      <c r="AB63" s="50">
        <f t="shared" ref="AB63:AC63" si="68">AB62</f>
        <v>312.4663677</v>
      </c>
      <c r="AC63" s="50">
        <f t="shared" si="68"/>
        <v>424.0750126</v>
      </c>
      <c r="AD63" s="8" t="str">
        <f>IF(C63=1,"REOPEN",IF(A63=Inputs!$B$15,"DEBT START",IF(AND(C63&gt;0,MOD(C63,12)=0),"YEAR END","")))</f>
        <v/>
      </c>
    </row>
    <row r="64" ht="15.75" customHeight="1">
      <c r="A64" s="50">
        <f t="shared" si="9"/>
        <v>59</v>
      </c>
      <c r="B64" s="50" t="str">
        <f>IF(A64&lt;Inputs!$B$27,"BUILD","OPEN")</f>
        <v>OPEN</v>
      </c>
      <c r="C64" s="50">
        <f>IF(B64="OPEN",A64-Inputs!$B$27+1,0)</f>
        <v>57</v>
      </c>
      <c r="D64" s="50">
        <f>IF(C64=0,0,MIN(Inputs!$B$25,IF(C64=1,ROUND(Inputs!$B$24*Inputs!$B$28,0),IF(C64&lt;=12,ROUND(ROUND(Inputs!$B$24*Inputs!$B$28,0)+(Inputs!$B$70-ROUND(Inputs!$B$24*Inputs!$B$28,0))*(C64-1)/11,0),IF(C64&lt;=24,ROUND(Inputs!$B$70+(Inputs!$B$71-Inputs!$B$70)*(C64-12)/12,0),IF(C64&lt;=36,ROUND(Inputs!$B$71+(Inputs!$B$72-Inputs!$B$71)*(C64-24)/12,0),IF(C64&lt;=48,ROUND(Inputs!$B$72+(Inputs!$B$73-Inputs!$B$72)*(C64-36)/12,0),ROUND(Inputs!$B$73+(Inputs!$B$74-Inputs!$B$73)*MIN(C64-48,12)/12,0))))))))</f>
        <v>838</v>
      </c>
      <c r="E64" s="50">
        <f>IF(C64=0,0,IF(Inputs!$B$50=1,MIN(D64,MAX(0,Inputs!$B$57-Inputs!$B$54)),MIN(D64,Inputs!$B$57)))</f>
        <v>838</v>
      </c>
      <c r="F64" s="50">
        <f>IF(AND(C64&gt;=Inputs!$B$56,Inputs!$B$50=1),Inputs!$B$54,0)</f>
        <v>0</v>
      </c>
      <c r="G64" s="50">
        <f t="shared" si="1"/>
        <v>838</v>
      </c>
      <c r="H64" s="10">
        <f>Inputs!$B$44*(1+Inputs!$B$20)^MAX(0,ROUNDUP(C64/12,0)-1)</f>
        <v>223</v>
      </c>
      <c r="I64" s="10">
        <f>IF(C64=0,0,E64*H64+F64*Inputs!$B$55)</f>
        <v>186874</v>
      </c>
      <c r="J64" s="10">
        <f>IF(C64=0,0,Inputs!$B$47)</f>
        <v>6500</v>
      </c>
      <c r="K64" s="10">
        <f t="shared" si="2"/>
        <v>193374</v>
      </c>
      <c r="L64" s="10">
        <f>K64/(1+Inputs!$B$6)</f>
        <v>163876.2712</v>
      </c>
      <c r="M64" s="10">
        <f>(K64*Inputs!$B$49)/(1+Inputs!$B$6)</f>
        <v>1638.762712</v>
      </c>
      <c r="N64" s="10">
        <f>IF(C64=0,Inputs!$B$34,'Operating Costs'!$C$23*(1+Inputs!$B$19)^MAX(0,ROUNDUP(C64/12,0)-1))</f>
        <v>63913.72881</v>
      </c>
      <c r="O64" s="10">
        <f t="shared" si="3"/>
        <v>98323.77966</v>
      </c>
      <c r="P64" s="10">
        <f t="array" ref="P64">INDEX(Financing!$J$17:$J$79,A64+1)</f>
        <v>20881.22078</v>
      </c>
      <c r="Q64" s="10">
        <f t="array" ref="Q64">INDEX(Financing!$G$17:$G$79,A64+1)</f>
        <v>845.0787616</v>
      </c>
      <c r="R64" s="10">
        <f>IF(C64=0,0,Inputs!$B$18)</f>
        <v>6813</v>
      </c>
      <c r="S64" s="10">
        <f t="shared" si="4"/>
        <v>90665.7009</v>
      </c>
      <c r="T64" s="10">
        <f t="shared" si="10"/>
        <v>0</v>
      </c>
      <c r="U64" s="10">
        <f t="shared" si="5"/>
        <v>90665.7009</v>
      </c>
      <c r="V64" s="10">
        <f>U64*Inputs!$B$17</f>
        <v>20853.11121</v>
      </c>
      <c r="W64" s="10">
        <f t="shared" si="6"/>
        <v>0</v>
      </c>
      <c r="X64" s="10">
        <f t="shared" si="7"/>
        <v>56589.44767</v>
      </c>
      <c r="Y64" s="10">
        <f>IF(A64=Inputs!$B$63,'Startup &amp; Funding'!$B$16,0)</f>
        <v>0</v>
      </c>
      <c r="Z64" s="10">
        <f t="shared" si="11"/>
        <v>1776653.812</v>
      </c>
      <c r="AA64" s="10">
        <f t="array" ref="AA64">INDEX(Financing!$E$17:$E$79,A64+1)+INDEX(Financing!$I$17:$I$79,A64+1)</f>
        <v>245457.4399</v>
      </c>
      <c r="AB64" s="50">
        <f t="shared" ref="AB64:AC64" si="69">AB63</f>
        <v>312.4663677</v>
      </c>
      <c r="AC64" s="50">
        <f t="shared" si="69"/>
        <v>424.0750126</v>
      </c>
      <c r="AD64" s="8" t="str">
        <f>IF(C64=1,"REOPEN",IF(A64=Inputs!$B$15,"DEBT START",IF(AND(C64&gt;0,MOD(C64,12)=0),"YEAR END","")))</f>
        <v/>
      </c>
    </row>
    <row r="65" ht="15.75" customHeight="1">
      <c r="A65" s="50">
        <f t="shared" si="9"/>
        <v>60</v>
      </c>
      <c r="B65" s="50" t="str">
        <f>IF(A65&lt;Inputs!$B$27,"BUILD","OPEN")</f>
        <v>OPEN</v>
      </c>
      <c r="C65" s="50">
        <f>IF(B65="OPEN",A65-Inputs!$B$27+1,0)</f>
        <v>58</v>
      </c>
      <c r="D65" s="50">
        <f>IF(C65=0,0,MIN(Inputs!$B$25,IF(C65=1,ROUND(Inputs!$B$24*Inputs!$B$28,0),IF(C65&lt;=12,ROUND(ROUND(Inputs!$B$24*Inputs!$B$28,0)+(Inputs!$B$70-ROUND(Inputs!$B$24*Inputs!$B$28,0))*(C65-1)/11,0),IF(C65&lt;=24,ROUND(Inputs!$B$70+(Inputs!$B$71-Inputs!$B$70)*(C65-12)/12,0),IF(C65&lt;=36,ROUND(Inputs!$B$71+(Inputs!$B$72-Inputs!$B$71)*(C65-24)/12,0),IF(C65&lt;=48,ROUND(Inputs!$B$72+(Inputs!$B$73-Inputs!$B$72)*(C65-36)/12,0),ROUND(Inputs!$B$73+(Inputs!$B$74-Inputs!$B$73)*MIN(C65-48,12)/12,0))))))))</f>
        <v>842</v>
      </c>
      <c r="E65" s="50">
        <f>IF(C65=0,0,IF(Inputs!$B$50=1,MIN(D65,MAX(0,Inputs!$B$57-Inputs!$B$54)),MIN(D65,Inputs!$B$57)))</f>
        <v>842</v>
      </c>
      <c r="F65" s="50">
        <f>IF(AND(C65&gt;=Inputs!$B$56,Inputs!$B$50=1),Inputs!$B$54,0)</f>
        <v>0</v>
      </c>
      <c r="G65" s="50">
        <f t="shared" si="1"/>
        <v>842</v>
      </c>
      <c r="H65" s="10">
        <f>Inputs!$B$44*(1+Inputs!$B$20)^MAX(0,ROUNDUP(C65/12,0)-1)</f>
        <v>223</v>
      </c>
      <c r="I65" s="10">
        <f>IF(C65=0,0,E65*H65+F65*Inputs!$B$55)</f>
        <v>187766</v>
      </c>
      <c r="J65" s="10">
        <f>IF(C65=0,0,Inputs!$B$47)</f>
        <v>6500</v>
      </c>
      <c r="K65" s="10">
        <f t="shared" si="2"/>
        <v>194266</v>
      </c>
      <c r="L65" s="10">
        <f>K65/(1+Inputs!$B$6)</f>
        <v>164632.2034</v>
      </c>
      <c r="M65" s="10">
        <f>(K65*Inputs!$B$49)/(1+Inputs!$B$6)</f>
        <v>1646.322034</v>
      </c>
      <c r="N65" s="10">
        <f>IF(C65=0,Inputs!$B$34,'Operating Costs'!$C$23*(1+Inputs!$B$19)^MAX(0,ROUNDUP(C65/12,0)-1))</f>
        <v>63913.72881</v>
      </c>
      <c r="O65" s="10">
        <f t="shared" si="3"/>
        <v>99072.15254</v>
      </c>
      <c r="P65" s="10">
        <f t="array" ref="P65">INDEX(Financing!$J$17:$J$79,A65+1)</f>
        <v>20881.22078</v>
      </c>
      <c r="Q65" s="10">
        <f t="array" ref="Q65">INDEX(Financing!$G$17:$G$79,A65+1)</f>
        <v>781.6023661</v>
      </c>
      <c r="R65" s="10">
        <f>IF(C65=0,0,Inputs!$B$18)</f>
        <v>6813</v>
      </c>
      <c r="S65" s="10">
        <f t="shared" si="4"/>
        <v>91477.55018</v>
      </c>
      <c r="T65" s="10">
        <f t="shared" si="10"/>
        <v>0</v>
      </c>
      <c r="U65" s="10">
        <f t="shared" si="5"/>
        <v>91477.55018</v>
      </c>
      <c r="V65" s="10">
        <f>U65*Inputs!$B$17</f>
        <v>21039.83654</v>
      </c>
      <c r="W65" s="10">
        <f t="shared" si="6"/>
        <v>0</v>
      </c>
      <c r="X65" s="10">
        <f t="shared" si="7"/>
        <v>57151.09522</v>
      </c>
      <c r="Y65" s="10">
        <f>IF(A65=Inputs!$B$63,'Startup &amp; Funding'!$B$16,0)</f>
        <v>0</v>
      </c>
      <c r="Z65" s="10">
        <f t="shared" si="11"/>
        <v>1833804.907</v>
      </c>
      <c r="AA65" s="10">
        <f t="array" ref="AA65">INDEX(Financing!$E$17:$E$79,A65+1)+INDEX(Financing!$I$17:$I$79,A65+1)</f>
        <v>225357.8215</v>
      </c>
      <c r="AB65" s="50">
        <f t="shared" ref="AB65:AC65" si="70">AB64</f>
        <v>312.4663677</v>
      </c>
      <c r="AC65" s="50">
        <f t="shared" si="70"/>
        <v>424.0750126</v>
      </c>
      <c r="AD65" s="8" t="str">
        <f>IF(C65=1,"REOPEN",IF(A65=Inputs!$B$15,"DEBT START",IF(AND(C65&gt;0,MOD(C65,12)=0),"YEAR END","")))</f>
        <v/>
      </c>
    </row>
    <row r="66" ht="15.75" customHeight="1">
      <c r="A66" s="50">
        <f t="shared" si="9"/>
        <v>61</v>
      </c>
      <c r="B66" s="50" t="str">
        <f>IF(A66&lt;Inputs!$B$27,"BUILD","OPEN")</f>
        <v>OPEN</v>
      </c>
      <c r="C66" s="50">
        <f>IF(B66="OPEN",A66-Inputs!$B$27+1,0)</f>
        <v>59</v>
      </c>
      <c r="D66" s="50">
        <f>IF(C66=0,0,MIN(Inputs!$B$25,IF(C66=1,ROUND(Inputs!$B$24*Inputs!$B$28,0),IF(C66&lt;=12,ROUND(ROUND(Inputs!$B$24*Inputs!$B$28,0)+(Inputs!$B$70-ROUND(Inputs!$B$24*Inputs!$B$28,0))*(C66-1)/11,0),IF(C66&lt;=24,ROUND(Inputs!$B$70+(Inputs!$B$71-Inputs!$B$70)*(C66-12)/12,0),IF(C66&lt;=36,ROUND(Inputs!$B$71+(Inputs!$B$72-Inputs!$B$71)*(C66-24)/12,0),IF(C66&lt;=48,ROUND(Inputs!$B$72+(Inputs!$B$73-Inputs!$B$72)*(C66-36)/12,0),ROUND(Inputs!$B$73+(Inputs!$B$74-Inputs!$B$73)*MIN(C66-48,12)/12,0))))))))</f>
        <v>846</v>
      </c>
      <c r="E66" s="50">
        <f>IF(C66=0,0,IF(Inputs!$B$50=1,MIN(D66,MAX(0,Inputs!$B$57-Inputs!$B$54)),MIN(D66,Inputs!$B$57)))</f>
        <v>846</v>
      </c>
      <c r="F66" s="50">
        <f>IF(AND(C66&gt;=Inputs!$B$56,Inputs!$B$50=1),Inputs!$B$54,0)</f>
        <v>0</v>
      </c>
      <c r="G66" s="50">
        <f t="shared" si="1"/>
        <v>846</v>
      </c>
      <c r="H66" s="10">
        <f>Inputs!$B$44*(1+Inputs!$B$20)^MAX(0,ROUNDUP(C66/12,0)-1)</f>
        <v>223</v>
      </c>
      <c r="I66" s="10">
        <f>IF(C66=0,0,E66*H66+F66*Inputs!$B$55)</f>
        <v>188658</v>
      </c>
      <c r="J66" s="10">
        <f>IF(C66=0,0,Inputs!$B$47)</f>
        <v>6500</v>
      </c>
      <c r="K66" s="10">
        <f t="shared" si="2"/>
        <v>195158</v>
      </c>
      <c r="L66" s="10">
        <f>K66/(1+Inputs!$B$6)</f>
        <v>165388.1356</v>
      </c>
      <c r="M66" s="10">
        <f>(K66*Inputs!$B$49)/(1+Inputs!$B$6)</f>
        <v>1653.881356</v>
      </c>
      <c r="N66" s="10">
        <f>IF(C66=0,Inputs!$B$34,'Operating Costs'!$C$23*(1+Inputs!$B$19)^MAX(0,ROUNDUP(C66/12,0)-1))</f>
        <v>63913.72881</v>
      </c>
      <c r="O66" s="10">
        <f t="shared" si="3"/>
        <v>99820.52542</v>
      </c>
      <c r="P66" s="10">
        <f t="array" ref="P66">INDEX(Financing!$J$17:$J$79,A66+1)</f>
        <v>20881.22078</v>
      </c>
      <c r="Q66" s="10">
        <f t="array" ref="Q66">INDEX(Financing!$G$17:$G$79,A66+1)</f>
        <v>717.8747099</v>
      </c>
      <c r="R66" s="10">
        <f>IF(C66=0,0,Inputs!$B$18)</f>
        <v>6813</v>
      </c>
      <c r="S66" s="10">
        <f t="shared" si="4"/>
        <v>92289.65071</v>
      </c>
      <c r="T66" s="10">
        <f t="shared" si="10"/>
        <v>0</v>
      </c>
      <c r="U66" s="10">
        <f t="shared" si="5"/>
        <v>92289.65071</v>
      </c>
      <c r="V66" s="10">
        <f>U66*Inputs!$B$17</f>
        <v>21226.61966</v>
      </c>
      <c r="W66" s="10">
        <f t="shared" si="6"/>
        <v>0</v>
      </c>
      <c r="X66" s="10">
        <f t="shared" si="7"/>
        <v>57712.68498</v>
      </c>
      <c r="Y66" s="10">
        <f>IF(A66=Inputs!$B$63,'Startup &amp; Funding'!$B$16,0)</f>
        <v>0</v>
      </c>
      <c r="Z66" s="10">
        <f t="shared" si="11"/>
        <v>1891517.592</v>
      </c>
      <c r="AA66" s="10">
        <f t="array" ref="AA66">INDEX(Financing!$E$17:$E$79,A66+1)+INDEX(Financing!$I$17:$I$79,A66+1)</f>
        <v>205194.4754</v>
      </c>
      <c r="AB66" s="50">
        <f t="shared" ref="AB66:AC66" si="71">AB65</f>
        <v>312.4663677</v>
      </c>
      <c r="AC66" s="50">
        <f t="shared" si="71"/>
        <v>424.0750126</v>
      </c>
      <c r="AD66" s="8" t="str">
        <f>IF(C66=1,"REOPEN",IF(A66=Inputs!$B$15,"DEBT START",IF(AND(C66&gt;0,MOD(C66,12)=0),"YEAR END","")))</f>
        <v/>
      </c>
    </row>
    <row r="67" ht="15.75" customHeight="1">
      <c r="A67" s="50">
        <f t="shared" si="9"/>
        <v>62</v>
      </c>
      <c r="B67" s="50" t="str">
        <f>IF(A67&lt;Inputs!$B$27,"BUILD","OPEN")</f>
        <v>OPEN</v>
      </c>
      <c r="C67" s="50">
        <f>IF(B67="OPEN",A67-Inputs!$B$27+1,0)</f>
        <v>60</v>
      </c>
      <c r="D67" s="50">
        <f>IF(C67=0,0,MIN(Inputs!$B$25,IF(C67=1,ROUND(Inputs!$B$24*Inputs!$B$28,0),IF(C67&lt;=12,ROUND(ROUND(Inputs!$B$24*Inputs!$B$28,0)+(Inputs!$B$70-ROUND(Inputs!$B$24*Inputs!$B$28,0))*(C67-1)/11,0),IF(C67&lt;=24,ROUND(Inputs!$B$70+(Inputs!$B$71-Inputs!$B$70)*(C67-12)/12,0),IF(C67&lt;=36,ROUND(Inputs!$B$71+(Inputs!$B$72-Inputs!$B$71)*(C67-24)/12,0),IF(C67&lt;=48,ROUND(Inputs!$B$72+(Inputs!$B$73-Inputs!$B$72)*(C67-36)/12,0),ROUND(Inputs!$B$73+(Inputs!$B$74-Inputs!$B$73)*MIN(C67-48,12)/12,0))))))))</f>
        <v>850</v>
      </c>
      <c r="E67" s="50">
        <f>IF(C67=0,0,IF(Inputs!$B$50=1,MIN(D67,MAX(0,Inputs!$B$57-Inputs!$B$54)),MIN(D67,Inputs!$B$57)))</f>
        <v>850</v>
      </c>
      <c r="F67" s="50">
        <f>IF(AND(C67&gt;=Inputs!$B$56,Inputs!$B$50=1),Inputs!$B$54,0)</f>
        <v>0</v>
      </c>
      <c r="G67" s="50">
        <f t="shared" si="1"/>
        <v>850</v>
      </c>
      <c r="H67" s="10">
        <f>Inputs!$B$44*(1+Inputs!$B$20)^MAX(0,ROUNDUP(C67/12,0)-1)</f>
        <v>223</v>
      </c>
      <c r="I67" s="10">
        <f>IF(C67=0,0,E67*H67+F67*Inputs!$B$55)</f>
        <v>189550</v>
      </c>
      <c r="J67" s="10">
        <f>IF(C67=0,0,Inputs!$B$47)</f>
        <v>6500</v>
      </c>
      <c r="K67" s="10">
        <f t="shared" si="2"/>
        <v>196050</v>
      </c>
      <c r="L67" s="10">
        <f>K67/(1+Inputs!$B$6)</f>
        <v>166144.0678</v>
      </c>
      <c r="M67" s="10">
        <f>(K67*Inputs!$B$49)/(1+Inputs!$B$6)</f>
        <v>1661.440678</v>
      </c>
      <c r="N67" s="10">
        <f>IF(C67=0,Inputs!$B$34,'Operating Costs'!$C$23*(1+Inputs!$B$19)^MAX(0,ROUNDUP(C67/12,0)-1))</f>
        <v>63913.72881</v>
      </c>
      <c r="O67" s="10">
        <f t="shared" si="3"/>
        <v>100568.8983</v>
      </c>
      <c r="P67" s="10">
        <f t="array" ref="P67">INDEX(Financing!$J$17:$J$79,A67+1)</f>
        <v>20881.22078</v>
      </c>
      <c r="Q67" s="10">
        <f t="array" ref="Q67">INDEX(Financing!$G$17:$G$79,A67+1)</f>
        <v>653.8947984</v>
      </c>
      <c r="R67" s="10">
        <f>IF(C67=0,0,Inputs!$B$18)</f>
        <v>6813</v>
      </c>
      <c r="S67" s="10">
        <f t="shared" si="4"/>
        <v>93102.00351</v>
      </c>
      <c r="T67" s="10">
        <f t="shared" si="10"/>
        <v>0</v>
      </c>
      <c r="U67" s="10">
        <f t="shared" si="5"/>
        <v>93102.00351</v>
      </c>
      <c r="V67" s="10">
        <f>U67*Inputs!$B$17</f>
        <v>21413.46081</v>
      </c>
      <c r="W67" s="10">
        <f t="shared" si="6"/>
        <v>0</v>
      </c>
      <c r="X67" s="10">
        <f t="shared" si="7"/>
        <v>58274.21672</v>
      </c>
      <c r="Y67" s="10">
        <f>IF(A67=Inputs!$B$63,'Startup &amp; Funding'!$B$16,0)</f>
        <v>0</v>
      </c>
      <c r="Z67" s="10">
        <f t="shared" si="11"/>
        <v>1949791.809</v>
      </c>
      <c r="AA67" s="10">
        <f t="array" ref="AA67">INDEX(Financing!$E$17:$E$79,A67+1)+INDEX(Financing!$I$17:$I$79,A67+1)</f>
        <v>184967.1494</v>
      </c>
      <c r="AB67" s="50">
        <f t="shared" ref="AB67:AC67" si="72">AB66</f>
        <v>312.4663677</v>
      </c>
      <c r="AC67" s="50">
        <f t="shared" si="72"/>
        <v>424.0750126</v>
      </c>
      <c r="AD67" s="8" t="str">
        <f>IF(C67=1,"REOPEN",IF(A67=Inputs!$B$15,"DEBT START",IF(AND(C67&gt;0,MOD(C67,12)=0),"YEAR END","")))</f>
        <v>YEAR END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D1"/>
    <mergeCell ref="A2:AD2"/>
  </mergeCells>
  <conditionalFormatting sqref="X5:X67">
    <cfRule type="expression" dxfId="0" priority="1">
      <formula>X5&lt;0</formula>
    </cfRule>
  </conditionalFormatting>
  <conditionalFormatting sqref="Z5:Z67">
    <cfRule type="expression" dxfId="0" priority="2">
      <formula>Z5&lt;0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13"/>
    <col customWidth="1" min="2" max="6" width="18.0"/>
    <col customWidth="1" min="7" max="7" width="46.0"/>
    <col customWidth="1" min="8" max="8" width="8.63"/>
    <col customWidth="1" min="9" max="14" width="15.0"/>
    <col customWidth="1" min="15" max="26" width="8.63"/>
  </cols>
  <sheetData>
    <row r="1" ht="27.75" customHeight="1">
      <c r="A1" s="1" t="s">
        <v>419</v>
      </c>
    </row>
    <row r="2">
      <c r="A2" s="77" t="s">
        <v>420</v>
      </c>
    </row>
    <row r="4">
      <c r="A4" s="5" t="s">
        <v>115</v>
      </c>
      <c r="B4" s="5" t="s">
        <v>421</v>
      </c>
      <c r="C4" s="5" t="s">
        <v>378</v>
      </c>
      <c r="D4" s="5" t="s">
        <v>379</v>
      </c>
      <c r="E4" s="5" t="s">
        <v>380</v>
      </c>
      <c r="F4" s="5" t="s">
        <v>381</v>
      </c>
      <c r="G4" s="5" t="s">
        <v>189</v>
      </c>
    </row>
    <row r="5">
      <c r="A5" s="21" t="s">
        <v>422</v>
      </c>
      <c r="B5" s="50">
        <f>AVERAGE('Monthly Base'!G8:G19)</f>
        <v>344</v>
      </c>
      <c r="C5" s="50">
        <f>AVERAGE('Monthly Base'!G20:G31)</f>
        <v>531.5</v>
      </c>
      <c r="D5" s="50">
        <f>AVERAGE('Monthly Base'!G32:G43)</f>
        <v>667.75</v>
      </c>
      <c r="E5" s="50">
        <f>AVERAGE('Monthly Base'!G44:G55)</f>
        <v>765.75</v>
      </c>
      <c r="F5" s="50">
        <f>AVERAGE('Monthly Base'!G56:G67)</f>
        <v>827.1666667</v>
      </c>
      <c r="G5" s="21" t="s">
        <v>423</v>
      </c>
    </row>
    <row r="6">
      <c r="A6" s="21" t="s">
        <v>424</v>
      </c>
      <c r="B6" s="50">
        <f>'Monthly Base'!G19</f>
        <v>450</v>
      </c>
      <c r="C6" s="50">
        <f>'Monthly Base'!G31</f>
        <v>600</v>
      </c>
      <c r="D6" s="50">
        <f>'Monthly Base'!G43</f>
        <v>725</v>
      </c>
      <c r="E6" s="50">
        <f>'Monthly Base'!G55</f>
        <v>800</v>
      </c>
      <c r="F6" s="50">
        <f>'Monthly Base'!G67</f>
        <v>850</v>
      </c>
    </row>
    <row r="7">
      <c r="A7" s="8" t="s">
        <v>425</v>
      </c>
      <c r="B7" s="10">
        <f>SUM('Monthly Base'!K8:K19)</f>
        <v>998544</v>
      </c>
      <c r="C7" s="10">
        <f>SUM('Monthly Base'!K20:K31)</f>
        <v>1500294</v>
      </c>
      <c r="D7" s="10">
        <f>SUM('Monthly Base'!K32:K43)</f>
        <v>1864899</v>
      </c>
      <c r="E7" s="10">
        <f>SUM('Monthly Base'!K44:K55)</f>
        <v>2127147</v>
      </c>
      <c r="F7" s="10">
        <f>SUM('Monthly Base'!K56:K67)</f>
        <v>2291498</v>
      </c>
      <c r="G7" s="8" t="s">
        <v>426</v>
      </c>
    </row>
    <row r="8">
      <c r="A8" s="8" t="s">
        <v>427</v>
      </c>
      <c r="B8" s="10">
        <f>SUM('Monthly Base'!L8:L19)</f>
        <v>846223.7288</v>
      </c>
      <c r="C8" s="10">
        <f>SUM('Monthly Base'!L20:L31)</f>
        <v>1271435.593</v>
      </c>
      <c r="D8" s="10">
        <f>SUM('Monthly Base'!L32:L43)</f>
        <v>1580422.881</v>
      </c>
      <c r="E8" s="10">
        <f>SUM('Monthly Base'!L44:L55)</f>
        <v>1802666.949</v>
      </c>
      <c r="F8" s="10">
        <f>SUM('Monthly Base'!L56:L67)</f>
        <v>1941947.458</v>
      </c>
      <c r="G8" s="8" t="s">
        <v>428</v>
      </c>
    </row>
    <row r="9">
      <c r="A9" s="8" t="s">
        <v>329</v>
      </c>
      <c r="B9" s="10">
        <f>SUM('Monthly Base'!O8:O19)</f>
        <v>70796.74576</v>
      </c>
      <c r="C9" s="10">
        <f>SUM('Monthly Base'!O20:O31)</f>
        <v>491756.4915</v>
      </c>
      <c r="D9" s="10">
        <f>SUM('Monthly Base'!O32:O43)</f>
        <v>797653.9068</v>
      </c>
      <c r="E9" s="10">
        <f>SUM('Monthly Base'!O44:O55)</f>
        <v>1017675.534</v>
      </c>
      <c r="F9" s="10">
        <f>SUM('Monthly Base'!O56:O67)</f>
        <v>1155563.237</v>
      </c>
      <c r="G9" s="8" t="s">
        <v>429</v>
      </c>
    </row>
    <row r="10">
      <c r="A10" s="40" t="s">
        <v>430</v>
      </c>
      <c r="B10" s="79">
        <f>SUM('Owner Pay'!L24:L35)+SUM('Owner Pay'!U24:V35)</f>
        <v>81666.47576</v>
      </c>
      <c r="C10" s="79">
        <f>SUM('Owner Pay'!L36:L47)+SUM('Owner Pay'!U36:V47)</f>
        <v>424218.2364</v>
      </c>
      <c r="D10" s="79">
        <f>SUM('Owner Pay'!L48:L59)+SUM('Owner Pay'!U48:V59)</f>
        <v>636626.7008</v>
      </c>
      <c r="E10" s="79">
        <f>SUM('Owner Pay'!L60:L71)+SUM('Owner Pay'!U60:V71)</f>
        <v>58610.85664</v>
      </c>
      <c r="F10" s="79">
        <f>SUM('Owner Pay'!L72:L83)+SUM('Owner Pay'!U72:V83)</f>
        <v>0</v>
      </c>
      <c r="G10" s="8" t="s">
        <v>435</v>
      </c>
    </row>
    <row r="11">
      <c r="A11" s="40" t="s">
        <v>436</v>
      </c>
      <c r="B11" s="79">
        <f>SUM('Owner Pay'!R24:R35)</f>
        <v>0</v>
      </c>
      <c r="C11" s="79">
        <f>SUM('Owner Pay'!R36:R47)</f>
        <v>67538.25514</v>
      </c>
      <c r="D11" s="79">
        <f>SUM('Owner Pay'!R48:R59)</f>
        <v>161027.206</v>
      </c>
      <c r="E11" s="79">
        <f>SUM('Owner Pay'!R60:R71)</f>
        <v>215261.4928</v>
      </c>
      <c r="F11" s="79">
        <f>SUM('Owner Pay'!R72:R83)</f>
        <v>246975.6646</v>
      </c>
      <c r="G11" s="8" t="s">
        <v>441</v>
      </c>
    </row>
    <row r="12">
      <c r="A12" s="40" t="s">
        <v>442</v>
      </c>
      <c r="B12" s="79">
        <f>SUM('Owner Pay'!D24:D35)-B10-B11-SUM('Owner Pay'!P24:P35)</f>
        <v>-10869.73</v>
      </c>
      <c r="C12" s="79">
        <f>SUM('Owner Pay'!D36:D47)-C10-C11-SUM('Owner Pay'!P36:P47)</f>
        <v>0</v>
      </c>
      <c r="D12" s="79">
        <f>SUM('Owner Pay'!D48:D59)-D10-D11-SUM('Owner Pay'!P48:P59)</f>
        <v>0.0000000002910383046</v>
      </c>
      <c r="E12" s="79">
        <f>SUM('Owner Pay'!D60:D71)-E10-E11-SUM('Owner Pay'!P60:P71)</f>
        <v>743803.1845</v>
      </c>
      <c r="F12" s="79">
        <f>SUM('Owner Pay'!D72:D83)-F10-F11-SUM('Owner Pay'!P72:P83)</f>
        <v>908587.5727</v>
      </c>
      <c r="G12" s="8" t="s">
        <v>448</v>
      </c>
    </row>
    <row r="13">
      <c r="A13" s="40" t="s">
        <v>449</v>
      </c>
      <c r="B13" s="83">
        <f>IF(SUM('Owner Pay'!L24:L35)=0,0,B9/SUM('Owner Pay'!L24:L35))</f>
        <v>1.130150172</v>
      </c>
      <c r="C13" s="83">
        <f>IF(SUM('Owner Pay'!L36:L47)=0,0,C9/SUM('Owner Pay'!L36:L47))</f>
        <v>1.962514934</v>
      </c>
      <c r="D13" s="83">
        <f>IF(SUM('Owner Pay'!L48:L59)=0,0,D9/SUM('Owner Pay'!L48:L59))</f>
        <v>3.183298505</v>
      </c>
      <c r="E13" s="83">
        <f>IF(SUM('Owner Pay'!L60:L71)=0,0,E9/SUM('Owner Pay'!L60:L71))</f>
        <v>42.40314725</v>
      </c>
      <c r="F13" s="83">
        <f>IF(SUM('Owner Pay'!L72:L83)=0,0,F9/SUM('Owner Pay'!L72:L83))</f>
        <v>0</v>
      </c>
      <c r="G13" s="8" t="s">
        <v>455</v>
      </c>
    </row>
    <row r="14">
      <c r="A14" s="40" t="s">
        <v>456</v>
      </c>
      <c r="B14" s="79">
        <f>'Owner Pay'!Z35</f>
        <v>150000</v>
      </c>
      <c r="C14" s="79">
        <f>'Owner Pay'!Z47</f>
        <v>150000</v>
      </c>
      <c r="D14" s="79">
        <f>'Owner Pay'!Z59</f>
        <v>150000</v>
      </c>
      <c r="E14" s="79">
        <f>'Owner Pay'!Z71</f>
        <v>893803.1845</v>
      </c>
      <c r="F14" s="79">
        <f>'Owner Pay'!Z83</f>
        <v>1802390.757</v>
      </c>
      <c r="G14" s="8" t="s">
        <v>461</v>
      </c>
    </row>
    <row r="15">
      <c r="A15" s="40" t="s">
        <v>462</v>
      </c>
      <c r="B15" s="79">
        <f>'Owner Pay'!Y35</f>
        <v>1068862.656</v>
      </c>
      <c r="C15" s="79">
        <f>'Owner Pay'!Y47</f>
        <v>679457.9376</v>
      </c>
      <c r="D15" s="79">
        <f>'Owner Pay'!Y59</f>
        <v>58610.85664</v>
      </c>
      <c r="E15" s="79">
        <f>'Owner Pay'!Y71</f>
        <v>0</v>
      </c>
      <c r="F15" s="79">
        <f>'Owner Pay'!Y83</f>
        <v>0</v>
      </c>
    </row>
    <row r="16">
      <c r="A16" s="40" t="s">
        <v>467</v>
      </c>
      <c r="B16" s="79">
        <f>B12</f>
        <v>-10869.73</v>
      </c>
      <c r="C16" s="79">
        <f t="shared" ref="C16:F16" si="1">B16+C12</f>
        <v>-10869.73</v>
      </c>
      <c r="D16" s="79">
        <f t="shared" si="1"/>
        <v>-10869.73</v>
      </c>
      <c r="E16" s="79">
        <f t="shared" si="1"/>
        <v>732933.4545</v>
      </c>
      <c r="F16" s="79">
        <f t="shared" si="1"/>
        <v>1641521.027</v>
      </c>
      <c r="G16" s="8" t="s">
        <v>470</v>
      </c>
    </row>
    <row r="17">
      <c r="A17" s="40" t="s">
        <v>471</v>
      </c>
      <c r="B17" s="79">
        <f>IF(B15=0,MAX(0,B14-Inputs!$B$80)*Inputs!$B$7,0)</f>
        <v>0</v>
      </c>
      <c r="C17" s="79">
        <f>IF(C15=0,MAX(0,C14-Inputs!$B$80)*Inputs!$B$7,0)</f>
        <v>0</v>
      </c>
      <c r="D17" s="79">
        <f>IF(D15=0,MAX(0,D14-Inputs!$B$80)*Inputs!$B$7,0)</f>
        <v>0</v>
      </c>
      <c r="E17" s="79">
        <f>IF(E15=0,MAX(0,E14-Inputs!$B$80)*Inputs!$B$7,0)</f>
        <v>371901.5922</v>
      </c>
      <c r="F17" s="79">
        <f>IF(F15=0,MAX(0,F14-Inputs!$B$80)*Inputs!$B$7,0)</f>
        <v>826195.3786</v>
      </c>
      <c r="G17" s="8" t="s">
        <v>492</v>
      </c>
    </row>
    <row r="18">
      <c r="A18" s="40" t="s">
        <v>493</v>
      </c>
      <c r="B18" s="79">
        <f>IF(B15=0,MAX(0,B14-Inputs!$B$80)*Inputs!$B$8,0)</f>
        <v>0</v>
      </c>
      <c r="C18" s="79">
        <f>IF(C15=0,MAX(0,C14-Inputs!$B$80)*Inputs!$B$8,0)</f>
        <v>0</v>
      </c>
      <c r="D18" s="79">
        <f>IF(D15=0,MAX(0,D14-Inputs!$B$80)*Inputs!$B$8,0)</f>
        <v>0</v>
      </c>
      <c r="E18" s="79">
        <f>IF(E15=0,MAX(0,E14-Inputs!$B$80)*Inputs!$B$8,0)</f>
        <v>371901.5922</v>
      </c>
      <c r="F18" s="79">
        <f>IF(F15=0,MAX(0,F14-Inputs!$B$80)*Inputs!$B$8,0)</f>
        <v>826195.3786</v>
      </c>
      <c r="G18" s="8" t="s">
        <v>492</v>
      </c>
    </row>
    <row r="19">
      <c r="A19" s="40" t="s">
        <v>494</v>
      </c>
      <c r="B19" s="72">
        <f>SUM('Owner Pay'!N24:O35)</f>
        <v>0</v>
      </c>
      <c r="C19" s="72">
        <f>SUM('Owner Pay'!N36:O47)</f>
        <v>0</v>
      </c>
      <c r="D19" s="72">
        <f>SUM('Owner Pay'!N48:O59)</f>
        <v>0</v>
      </c>
      <c r="E19" s="72">
        <f>SUM('Owner Pay'!N60:O71)</f>
        <v>0</v>
      </c>
      <c r="F19" s="72">
        <f>SUM('Owner Pay'!N72:O83)</f>
        <v>0</v>
      </c>
      <c r="I19" s="8" t="s">
        <v>115</v>
      </c>
      <c r="J19" s="8" t="s">
        <v>495</v>
      </c>
      <c r="K19" s="8" t="s">
        <v>496</v>
      </c>
      <c r="L19" s="8" t="s">
        <v>497</v>
      </c>
      <c r="M19" s="8" t="s">
        <v>498</v>
      </c>
      <c r="N19" s="8" t="s">
        <v>499</v>
      </c>
    </row>
    <row r="20">
      <c r="A20" s="40" t="s">
        <v>500</v>
      </c>
      <c r="B20" s="72">
        <f>SUM('Owner Pay'!P24:P35)</f>
        <v>0</v>
      </c>
      <c r="C20" s="72">
        <f>SUM('Owner Pay'!P36:P47)</f>
        <v>0</v>
      </c>
      <c r="D20" s="72">
        <f>SUM('Owner Pay'!P48:P59)</f>
        <v>0</v>
      </c>
      <c r="E20" s="72">
        <f>SUM('Owner Pay'!P60:P71)</f>
        <v>0</v>
      </c>
      <c r="F20" s="72">
        <f>SUM('Owner Pay'!P72:P83)</f>
        <v>0</v>
      </c>
      <c r="I20" s="8" t="s">
        <v>329</v>
      </c>
      <c r="J20" s="10">
        <f t="shared" ref="J20:N20" si="2">B9</f>
        <v>70796.74576</v>
      </c>
      <c r="K20" s="10">
        <f t="shared" si="2"/>
        <v>491756.4915</v>
      </c>
      <c r="L20" s="10">
        <f t="shared" si="2"/>
        <v>797653.9068</v>
      </c>
      <c r="M20" s="10">
        <f t="shared" si="2"/>
        <v>1017675.534</v>
      </c>
      <c r="N20" s="10">
        <f t="shared" si="2"/>
        <v>1155563.237</v>
      </c>
    </row>
    <row r="21" ht="15.75" customHeight="1">
      <c r="A21" s="22" t="s">
        <v>501</v>
      </c>
      <c r="I21" s="8" t="s">
        <v>502</v>
      </c>
      <c r="J21" s="10">
        <f t="shared" ref="J21:N21" si="3">B10</f>
        <v>81666.47576</v>
      </c>
      <c r="K21" s="10">
        <f t="shared" si="3"/>
        <v>424218.2364</v>
      </c>
      <c r="L21" s="10">
        <f t="shared" si="3"/>
        <v>636626.7008</v>
      </c>
      <c r="M21" s="10">
        <f t="shared" si="3"/>
        <v>58610.85664</v>
      </c>
      <c r="N21" s="10">
        <f t="shared" si="3"/>
        <v>0</v>
      </c>
    </row>
    <row r="22" ht="15.75" customHeight="1">
      <c r="A22" s="5" t="s">
        <v>115</v>
      </c>
      <c r="B22" s="5" t="s">
        <v>433</v>
      </c>
      <c r="C22" s="5" t="s">
        <v>434</v>
      </c>
      <c r="I22" s="8" t="s">
        <v>503</v>
      </c>
      <c r="J22" s="10">
        <f t="shared" ref="J22:N22" si="4">B12</f>
        <v>-10869.73</v>
      </c>
      <c r="K22" s="10">
        <f t="shared" si="4"/>
        <v>0</v>
      </c>
      <c r="L22" s="10">
        <f t="shared" si="4"/>
        <v>0.0000000002910383046</v>
      </c>
      <c r="M22" s="10">
        <f t="shared" si="4"/>
        <v>743803.1845</v>
      </c>
      <c r="N22" s="10">
        <f t="shared" si="4"/>
        <v>908587.5727</v>
      </c>
    </row>
    <row r="23" ht="15.75" customHeight="1">
      <c r="A23" s="8" t="s">
        <v>504</v>
      </c>
      <c r="B23" s="50">
        <f>ROUND(Inputs!$B$24*Inputs!$B$28,0)</f>
        <v>238</v>
      </c>
      <c r="C23" s="8" t="s">
        <v>505</v>
      </c>
    </row>
    <row r="24" ht="15.75" customHeight="1">
      <c r="A24" s="8" t="s">
        <v>506</v>
      </c>
      <c r="B24" s="50">
        <f>'Monthly Base'!AB5</f>
        <v>312.4663677</v>
      </c>
      <c r="C24" s="8" t="s">
        <v>507</v>
      </c>
    </row>
    <row r="25" ht="15.75" customHeight="1">
      <c r="A25" s="8" t="s">
        <v>508</v>
      </c>
      <c r="B25" s="50">
        <f>'Monthly Base'!AC5</f>
        <v>424.0750126</v>
      </c>
      <c r="C25" s="8" t="s">
        <v>509</v>
      </c>
    </row>
    <row r="26" ht="15.75" customHeight="1">
      <c r="A26" s="8" t="s">
        <v>510</v>
      </c>
      <c r="B26" s="50">
        <f>Financing!$D$13</f>
        <v>10</v>
      </c>
      <c r="C26" s="8" t="s">
        <v>511</v>
      </c>
    </row>
    <row r="27" ht="15.75" customHeight="1">
      <c r="A27" s="21" t="s">
        <v>512</v>
      </c>
      <c r="B27" s="50">
        <f>MIN(60,IFERROR(MATCH(B25,'Monthly Base'!G8:G67,0),MATCH(B25,'Monthly Base'!G8:G67,1)+1))</f>
        <v>11</v>
      </c>
      <c r="C27" s="21" t="s">
        <v>513</v>
      </c>
    </row>
    <row r="28" ht="15.75" customHeight="1">
      <c r="A28" s="21" t="s">
        <v>514</v>
      </c>
      <c r="B28" s="89">
        <v>12.0</v>
      </c>
      <c r="C28" s="21" t="s">
        <v>515</v>
      </c>
    </row>
    <row r="29" ht="15.75" customHeight="1">
      <c r="A29" s="21" t="s">
        <v>516</v>
      </c>
      <c r="B29" s="50">
        <f>MIN(60,IFERROR(MATCH(600,'Monthly Base'!G8:G67,0),MATCH(600,'Monthly Base'!G8:G67,1)+1))</f>
        <v>24</v>
      </c>
      <c r="C29" s="21" t="s">
        <v>517</v>
      </c>
    </row>
    <row r="30" ht="15.75" customHeight="1">
      <c r="A30" s="40" t="s">
        <v>518</v>
      </c>
      <c r="B30" s="79">
        <f t="array" ref="B30">MIN(MIN('Owner Pay'!Z21:Z83),INDEX('Owner Pay'!F21:F83,Inputs!$B$63+1)+INDEX('Owner Pay'!D21:D83,Inputs!$B$63+1))</f>
        <v>8936.0014</v>
      </c>
      <c r="C30" s="40" t="s">
        <v>519</v>
      </c>
    </row>
    <row r="31" ht="15.75" customHeight="1">
      <c r="A31" s="40" t="s">
        <v>444</v>
      </c>
      <c r="B31" s="71">
        <f>'Owner Pay'!B9</f>
        <v>42</v>
      </c>
      <c r="C31" s="40" t="s">
        <v>520</v>
      </c>
    </row>
    <row r="32" ht="15.75" customHeight="1">
      <c r="A32" s="40" t="s">
        <v>521</v>
      </c>
      <c r="B32" s="71" t="str">
        <f>'Owner Pay'!B10</f>
        <v>OFF</v>
      </c>
      <c r="C32" s="40" t="s">
        <v>274</v>
      </c>
    </row>
    <row r="33" ht="15.75" customHeight="1">
      <c r="A33" s="40" t="s">
        <v>454</v>
      </c>
      <c r="B33" s="72">
        <f>'Owner Pay'!B13</f>
        <v>48787.13966</v>
      </c>
      <c r="C33" s="40" t="s">
        <v>522</v>
      </c>
    </row>
    <row r="34" ht="15.75" customHeight="1">
      <c r="A34" s="40" t="s">
        <v>458</v>
      </c>
      <c r="B34" s="72">
        <f>'Owner Pay'!B14</f>
        <v>20881.22078</v>
      </c>
      <c r="C34" s="40" t="s">
        <v>523</v>
      </c>
    </row>
    <row r="35" ht="15.75" customHeight="1">
      <c r="A35" s="40" t="s">
        <v>524</v>
      </c>
      <c r="B35" s="72">
        <f>'Owner Pay'!B12</f>
        <v>24000</v>
      </c>
      <c r="C35" s="40" t="s">
        <v>525</v>
      </c>
    </row>
    <row r="36" ht="15.75" customHeight="1">
      <c r="A36" s="40" t="s">
        <v>464</v>
      </c>
      <c r="B36" s="72">
        <f>'Owner Pay'!B16</f>
        <v>1652390.757</v>
      </c>
      <c r="C36" s="40" t="s">
        <v>526</v>
      </c>
    </row>
    <row r="37" ht="15.75" customHeight="1">
      <c r="A37" s="40" t="s">
        <v>527</v>
      </c>
      <c r="B37" s="72">
        <f>'Owner Pay'!B17</f>
        <v>826195.3786</v>
      </c>
      <c r="C37" s="40" t="s">
        <v>528</v>
      </c>
    </row>
    <row r="38" ht="15.75" customHeight="1">
      <c r="A38" s="40" t="s">
        <v>529</v>
      </c>
      <c r="B38" s="72">
        <f>'Owner Pay'!B16*Inputs!$B$8</f>
        <v>826195.3786</v>
      </c>
      <c r="C38" s="40" t="s">
        <v>528</v>
      </c>
    </row>
    <row r="39" ht="15.75" customHeight="1">
      <c r="A39" s="42" t="s">
        <v>256</v>
      </c>
      <c r="B39" s="72">
        <f>Inputs!$B$80</f>
        <v>150000</v>
      </c>
      <c r="C39" s="40" t="s">
        <v>530</v>
      </c>
    </row>
    <row r="40" ht="15.75" customHeight="1">
      <c r="A40" s="21" t="s">
        <v>469</v>
      </c>
      <c r="B40" s="8">
        <f>'Owner Pay'!B18</f>
        <v>27</v>
      </c>
      <c r="C40" s="21" t="s">
        <v>531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21:G2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0"/>
  <cols>
    <col customWidth="1" min="1" max="1" width="21.38"/>
    <col customWidth="1" min="2" max="2" width="18.88"/>
    <col customWidth="1" min="3" max="3" width="37.63"/>
    <col customWidth="1" min="4" max="26" width="15.13"/>
  </cols>
  <sheetData>
    <row r="1" ht="27.75" customHeight="1">
      <c r="A1" s="78" t="s">
        <v>431</v>
      </c>
    </row>
    <row r="2">
      <c r="A2" s="80" t="s">
        <v>432</v>
      </c>
    </row>
    <row r="4">
      <c r="A4" s="81" t="s">
        <v>115</v>
      </c>
      <c r="B4" s="81" t="s">
        <v>433</v>
      </c>
      <c r="C4" s="81" t="s">
        <v>434</v>
      </c>
    </row>
    <row r="5">
      <c r="A5" s="42" t="s">
        <v>256</v>
      </c>
      <c r="B5" s="72">
        <f>Inputs!$B$80</f>
        <v>150000</v>
      </c>
      <c r="C5" s="40" t="s">
        <v>437</v>
      </c>
    </row>
    <row r="6">
      <c r="A6" s="40" t="s">
        <v>259</v>
      </c>
      <c r="B6" s="82">
        <f>Inputs!$B$81</f>
        <v>1</v>
      </c>
      <c r="C6" s="40" t="s">
        <v>438</v>
      </c>
    </row>
    <row r="7">
      <c r="A7" s="40" t="s">
        <v>263</v>
      </c>
      <c r="B7" s="71" t="str">
        <f>Inputs!$B$83</f>
        <v>Loan B (Prime) → Loan A (0%)</v>
      </c>
      <c r="C7" s="40" t="s">
        <v>439</v>
      </c>
    </row>
    <row r="8">
      <c r="A8" s="40" t="s">
        <v>440</v>
      </c>
      <c r="B8" s="71">
        <f t="array" ref="B8">IFERROR(INDEX(A21:A83,MATCH(0,Y21:Y83,0)),"Beyond model")</f>
        <v>44</v>
      </c>
      <c r="C8" s="40" t="s">
        <v>443</v>
      </c>
    </row>
    <row r="9">
      <c r="A9" s="40" t="s">
        <v>444</v>
      </c>
      <c r="B9" s="71">
        <f t="array" ref="B9">IFERROR(INDEX(C21:C83,MATCH(0,Y21:Y83,0)),"Beyond model")</f>
        <v>42</v>
      </c>
      <c r="C9" s="40" t="s">
        <v>445</v>
      </c>
    </row>
    <row r="10">
      <c r="A10" s="40" t="s">
        <v>446</v>
      </c>
      <c r="B10" s="71" t="str">
        <f>IF(Inputs!$B$84=1,IF(ISNUMBER(B9),B9+1,"Beyond model"),"OFF")</f>
        <v>OFF</v>
      </c>
      <c r="C10" s="40" t="s">
        <v>447</v>
      </c>
    </row>
    <row r="11">
      <c r="A11" s="40" t="s">
        <v>450</v>
      </c>
      <c r="B11" s="72">
        <f>Inputs!$B$85+Inputs!$B$86</f>
        <v>20000</v>
      </c>
      <c r="C11" s="40" t="s">
        <v>451</v>
      </c>
    </row>
    <row r="12">
      <c r="A12" s="40" t="s">
        <v>452</v>
      </c>
      <c r="B12" s="84">
        <f>B11*(1+Inputs!$B$66)</f>
        <v>24000</v>
      </c>
      <c r="C12" s="40" t="s">
        <v>453</v>
      </c>
      <c r="D12" s="40"/>
      <c r="E12" s="40"/>
      <c r="F12" s="40"/>
      <c r="G12" s="40"/>
      <c r="H12" s="40"/>
      <c r="I12" s="40"/>
    </row>
    <row r="13">
      <c r="A13" s="40" t="s">
        <v>454</v>
      </c>
      <c r="B13" s="72">
        <f>SUM(Financing!$G$17:$G$79)-SUM(J21:J83)</f>
        <v>48787.13966</v>
      </c>
      <c r="C13" s="40" t="s">
        <v>457</v>
      </c>
    </row>
    <row r="14">
      <c r="A14" s="40" t="s">
        <v>458</v>
      </c>
      <c r="B14" s="72">
        <f>Financing!$D$10</f>
        <v>20881.22078</v>
      </c>
      <c r="C14" s="40" t="s">
        <v>459</v>
      </c>
    </row>
    <row r="15">
      <c r="A15" s="40" t="s">
        <v>460</v>
      </c>
      <c r="B15" s="72">
        <f>Z83</f>
        <v>1802390.757</v>
      </c>
      <c r="C15" s="40" t="s">
        <v>463</v>
      </c>
    </row>
    <row r="16">
      <c r="A16" s="40" t="s">
        <v>464</v>
      </c>
      <c r="B16" s="72">
        <f>IF(Y83=0,MAX(0,Z83-Inputs!$B$80),0)</f>
        <v>1652390.757</v>
      </c>
      <c r="C16" s="40" t="s">
        <v>465</v>
      </c>
    </row>
    <row r="17">
      <c r="A17" s="40" t="s">
        <v>466</v>
      </c>
      <c r="B17" s="72">
        <f>B16*Inputs!$B$7</f>
        <v>826195.3786</v>
      </c>
      <c r="C17" s="40" t="s">
        <v>468</v>
      </c>
    </row>
    <row r="18">
      <c r="A18" s="21" t="s">
        <v>469</v>
      </c>
      <c r="B18" s="8">
        <f>MAX(0,Inputs!$B$15+Inputs!$B$16-1-B8)</f>
        <v>27</v>
      </c>
      <c r="C18" s="21" t="s">
        <v>472</v>
      </c>
    </row>
    <row r="19">
      <c r="A19" s="85" t="s">
        <v>473</v>
      </c>
    </row>
    <row r="20">
      <c r="A20" s="70" t="s">
        <v>304</v>
      </c>
      <c r="B20" s="70" t="s">
        <v>316</v>
      </c>
      <c r="C20" s="70" t="s">
        <v>317</v>
      </c>
      <c r="D20" s="75" t="s">
        <v>329</v>
      </c>
      <c r="E20" s="75" t="s">
        <v>474</v>
      </c>
      <c r="F20" s="75" t="s">
        <v>475</v>
      </c>
      <c r="G20" s="75" t="s">
        <v>476</v>
      </c>
      <c r="H20" s="75" t="s">
        <v>477</v>
      </c>
      <c r="I20" s="75" t="s">
        <v>478</v>
      </c>
      <c r="J20" s="75" t="s">
        <v>332</v>
      </c>
      <c r="K20" s="75" t="s">
        <v>479</v>
      </c>
      <c r="L20" s="75" t="s">
        <v>480</v>
      </c>
      <c r="M20" s="75" t="s">
        <v>335</v>
      </c>
      <c r="N20" s="75" t="s">
        <v>481</v>
      </c>
      <c r="O20" s="75" t="s">
        <v>482</v>
      </c>
      <c r="P20" s="75" t="s">
        <v>483</v>
      </c>
      <c r="Q20" s="75" t="s">
        <v>334</v>
      </c>
      <c r="R20" s="75" t="s">
        <v>484</v>
      </c>
      <c r="S20" s="75" t="s">
        <v>338</v>
      </c>
      <c r="T20" s="75" t="s">
        <v>485</v>
      </c>
      <c r="U20" s="75" t="s">
        <v>486</v>
      </c>
      <c r="V20" s="75" t="s">
        <v>487</v>
      </c>
      <c r="W20" s="75" t="s">
        <v>488</v>
      </c>
      <c r="X20" s="75" t="s">
        <v>489</v>
      </c>
      <c r="Y20" s="75" t="s">
        <v>490</v>
      </c>
      <c r="Z20" s="75" t="s">
        <v>491</v>
      </c>
    </row>
    <row r="21" ht="15.75" customHeight="1">
      <c r="A21" s="86">
        <v>0.0</v>
      </c>
      <c r="B21" s="87" t="str">
        <f t="array" ref="B21">INDEX('Monthly Base'!$B$5:$B$67,A21+1)</f>
        <v>BUILD</v>
      </c>
      <c r="C21" s="87">
        <f t="array" ref="C21">INDEX('Monthly Base'!$C$5:$C$67,A21+1)</f>
        <v>0</v>
      </c>
      <c r="D21" s="69">
        <f t="array" ref="D21">INDEX('Monthly Base'!$O$5:$O$67,A21+1)</f>
        <v>-20018</v>
      </c>
      <c r="E21" s="69">
        <f t="array" ref="E21">INDEX('Monthly Base'!$Y$5:$Y$67,A21+1)</f>
        <v>0</v>
      </c>
      <c r="F21" s="69">
        <f>'Startup &amp; Funding'!$B$19</f>
        <v>68990.0014</v>
      </c>
      <c r="G21" s="69">
        <f>Inputs!$B$9</f>
        <v>240000</v>
      </c>
      <c r="H21" s="69">
        <f>Inputs!$B$10</f>
        <v>900000</v>
      </c>
      <c r="I21" s="69">
        <f>IF(OR(A21&lt;Inputs!$B$15,G21&lt;=0),0,MIN(Financing!$B$10,G21))</f>
        <v>0</v>
      </c>
      <c r="J21" s="69">
        <f>IF(OR(A21&lt;Inputs!$B$15,H21&lt;=0),0,H21*Inputs!$B$13/12)</f>
        <v>0</v>
      </c>
      <c r="K21" s="69">
        <f>IF(OR(A21&lt;Inputs!$B$15,H21&lt;=0),0,MIN(Financing!$C$10,H21+J21))</f>
        <v>0</v>
      </c>
      <c r="L21" s="69">
        <f t="shared" ref="L21:L83" si="2">I21+K21</f>
        <v>0</v>
      </c>
      <c r="M21" s="88">
        <v>0.0</v>
      </c>
      <c r="N21" s="88">
        <v>0.0</v>
      </c>
      <c r="O21" s="88">
        <v>0.0</v>
      </c>
      <c r="P21" s="69">
        <f>(N21+O21)*(1+Inputs!$B$66)</f>
        <v>0</v>
      </c>
      <c r="Q21" s="69">
        <f>D21-J21-IF(C21=0,0,Inputs!$B$18)-P21</f>
        <v>-20018</v>
      </c>
      <c r="R21" s="69">
        <f>MAX(0,Q21-M21)*Inputs!$B$17</f>
        <v>0</v>
      </c>
      <c r="S21" s="69">
        <f t="shared" ref="S21:S83" si="3">MAX(0,M21-MAX(0,Q21))+MAX(0,-Q21)</f>
        <v>20018</v>
      </c>
      <c r="T21" s="69">
        <f t="shared" ref="T21:T83" si="4">F21+D21+E21-L21-P21-R21</f>
        <v>48972.0014</v>
      </c>
      <c r="U21" s="69">
        <f>IF(AND(Inputs!$B$79=1,B21="OPEN",A21&gt;=Inputs!$B$82,C21&gt;=Inputs!$B$91,MOD(C21-Inputs!$B$91,Inputs!$B$90)=0),MIN(MAX(0,T21-Inputs!$B$80)*Inputs!$B$81,MAX(0,H21+J21-K21)),0)</f>
        <v>0</v>
      </c>
      <c r="V21" s="69">
        <f>IF(AND(Inputs!$B$79=1,B21="OPEN",A21&gt;=Inputs!$B$82,C21&gt;=Inputs!$B$91,MOD(C21-Inputs!$B$91,Inputs!$B$90)=0),MIN(MAX(0,MAX(0,T21-Inputs!$B$80)*Inputs!$B$81-U21),MAX(0,G21-I21)),0)</f>
        <v>0</v>
      </c>
      <c r="W21" s="69">
        <f t="shared" ref="W21:W83" si="5">MAX(0,G21-I21-V21)</f>
        <v>240000</v>
      </c>
      <c r="X21" s="69">
        <f t="shared" ref="X21:X83" si="6">MAX(0,H21+J21-K21-U21)</f>
        <v>900000</v>
      </c>
      <c r="Y21" s="69">
        <f t="shared" ref="Y21:Y83" si="7">W21+X21</f>
        <v>1140000</v>
      </c>
      <c r="Z21" s="69">
        <f t="shared" ref="Z21:Z83" si="8">T21-U21-V21</f>
        <v>48972.0014</v>
      </c>
    </row>
    <row r="22" ht="15.75" customHeight="1">
      <c r="A22" s="87">
        <f t="shared" ref="A22:A83" si="9">A21+1</f>
        <v>1</v>
      </c>
      <c r="B22" s="87" t="str">
        <f t="array" ref="B22">INDEX('Monthly Base'!$B$5:$B$67,A22+1)</f>
        <v>BUILD</v>
      </c>
      <c r="C22" s="87">
        <f t="array" ref="C22">INDEX('Monthly Base'!$C$5:$C$67,A22+1)</f>
        <v>0</v>
      </c>
      <c r="D22" s="69">
        <f t="array" ref="D22">INDEX('Monthly Base'!$O$5:$O$67,A22+1)</f>
        <v>-20018</v>
      </c>
      <c r="E22" s="69">
        <f t="array" ref="E22">INDEX('Monthly Base'!$Y$5:$Y$67,A22+1)</f>
        <v>0</v>
      </c>
      <c r="F22" s="69">
        <f t="shared" ref="F22:F83" si="10">Z21</f>
        <v>48972.0014</v>
      </c>
      <c r="G22" s="69">
        <f t="shared" ref="G22:H22" si="1">W21</f>
        <v>240000</v>
      </c>
      <c r="H22" s="69">
        <f t="shared" si="1"/>
        <v>900000</v>
      </c>
      <c r="I22" s="69">
        <f>IF(OR(A22&lt;Inputs!$B$15,G22&lt;=0),0,MIN(Financing!$B$10,G22))</f>
        <v>0</v>
      </c>
      <c r="J22" s="69">
        <f>IF(OR(A22&lt;Inputs!$B$15,H22&lt;=0),0,H22*Inputs!$B$13/12)</f>
        <v>0</v>
      </c>
      <c r="K22" s="69">
        <f>IF(OR(A22&lt;Inputs!$B$15,H22&lt;=0),0,MIN(Financing!$C$10,H22+J22))</f>
        <v>0</v>
      </c>
      <c r="L22" s="69">
        <f t="shared" si="2"/>
        <v>0</v>
      </c>
      <c r="M22" s="69">
        <f t="shared" ref="M22:M83" si="12">S21</f>
        <v>20018</v>
      </c>
      <c r="N22" s="69">
        <f>IF(AND(Inputs!$B$84=1,B22="OPEN",Y21=0),Inputs!$B$85*(1+Inputs!$B$88)^MAX(0,ROUNDUP(C22/12,0)-1),0)</f>
        <v>0</v>
      </c>
      <c r="O22" s="69">
        <f>IF(AND(Inputs!$B$84=1,B22="OPEN",Y21=0),Inputs!$B$86*(1+Inputs!$B$88)^MAX(0,ROUNDUP(C22/12,0)-1),0)</f>
        <v>0</v>
      </c>
      <c r="P22" s="69">
        <f>(N22+O22)*(1+Inputs!$B$66)</f>
        <v>0</v>
      </c>
      <c r="Q22" s="69">
        <f>D22-J22-IF(C22=0,0,Inputs!$B$18)-P22</f>
        <v>-20018</v>
      </c>
      <c r="R22" s="69">
        <f>MAX(0,Q22-M22)*Inputs!$B$17</f>
        <v>0</v>
      </c>
      <c r="S22" s="69">
        <f t="shared" si="3"/>
        <v>40036</v>
      </c>
      <c r="T22" s="69">
        <f t="shared" si="4"/>
        <v>28954.0014</v>
      </c>
      <c r="U22" s="69">
        <f>IF(AND(Inputs!$B$79=1,B22="OPEN",A22&gt;=Inputs!$B$82,C22&gt;=Inputs!$B$91,MOD(C22-Inputs!$B$91,Inputs!$B$90)=0),MIN(MAX(0,T22-Inputs!$B$80)*Inputs!$B$81,MAX(0,H22+J22-K22)),0)</f>
        <v>0</v>
      </c>
      <c r="V22" s="69">
        <f>IF(AND(Inputs!$B$79=1,B22="OPEN",A22&gt;=Inputs!$B$82,C22&gt;=Inputs!$B$91,MOD(C22-Inputs!$B$91,Inputs!$B$90)=0),MIN(MAX(0,MAX(0,T22-Inputs!$B$80)*Inputs!$B$81-U22),MAX(0,G22-I22)),0)</f>
        <v>0</v>
      </c>
      <c r="W22" s="69">
        <f t="shared" si="5"/>
        <v>240000</v>
      </c>
      <c r="X22" s="69">
        <f t="shared" si="6"/>
        <v>900000</v>
      </c>
      <c r="Y22" s="69">
        <f t="shared" si="7"/>
        <v>1140000</v>
      </c>
      <c r="Z22" s="69">
        <f t="shared" si="8"/>
        <v>28954.0014</v>
      </c>
    </row>
    <row r="23" ht="15.75" customHeight="1">
      <c r="A23" s="87">
        <f t="shared" si="9"/>
        <v>2</v>
      </c>
      <c r="B23" s="87" t="str">
        <f t="array" ref="B23">INDEX('Monthly Base'!$B$5:$B$67,A23+1)</f>
        <v>BUILD</v>
      </c>
      <c r="C23" s="87">
        <f t="array" ref="C23">INDEX('Monthly Base'!$C$5:$C$67,A23+1)</f>
        <v>0</v>
      </c>
      <c r="D23" s="69">
        <f t="array" ref="D23">INDEX('Monthly Base'!$O$5:$O$67,A23+1)</f>
        <v>-20018</v>
      </c>
      <c r="E23" s="69">
        <f t="array" ref="E23">INDEX('Monthly Base'!$Y$5:$Y$67,A23+1)</f>
        <v>151933.7286</v>
      </c>
      <c r="F23" s="69">
        <f t="shared" si="10"/>
        <v>28954.0014</v>
      </c>
      <c r="G23" s="69">
        <f t="shared" ref="G23:H23" si="11">W22</f>
        <v>240000</v>
      </c>
      <c r="H23" s="69">
        <f t="shared" si="11"/>
        <v>900000</v>
      </c>
      <c r="I23" s="69">
        <f>IF(OR(A23&lt;Inputs!$B$15,G23&lt;=0),0,MIN(Financing!$B$10,G23))</f>
        <v>0</v>
      </c>
      <c r="J23" s="69">
        <f>IF(OR(A23&lt;Inputs!$B$15,H23&lt;=0),0,H23*Inputs!$B$13/12)</f>
        <v>0</v>
      </c>
      <c r="K23" s="69">
        <f>IF(OR(A23&lt;Inputs!$B$15,H23&lt;=0),0,MIN(Financing!$C$10,H23+J23))</f>
        <v>0</v>
      </c>
      <c r="L23" s="69">
        <f t="shared" si="2"/>
        <v>0</v>
      </c>
      <c r="M23" s="69">
        <f t="shared" si="12"/>
        <v>40036</v>
      </c>
      <c r="N23" s="69">
        <f>IF(AND(Inputs!$B$84=1,B23="OPEN",Y22=0),Inputs!$B$85*(1+Inputs!$B$88)^MAX(0,ROUNDUP(C23/12,0)-1),0)</f>
        <v>0</v>
      </c>
      <c r="O23" s="69">
        <f>IF(AND(Inputs!$B$84=1,B23="OPEN",Y22=0),Inputs!$B$86*(1+Inputs!$B$88)^MAX(0,ROUNDUP(C23/12,0)-1),0)</f>
        <v>0</v>
      </c>
      <c r="P23" s="69">
        <f>(N23+O23)*(1+Inputs!$B$66)</f>
        <v>0</v>
      </c>
      <c r="Q23" s="69">
        <f>D23-J23-IF(C23=0,0,Inputs!$B$18)-P23</f>
        <v>-20018</v>
      </c>
      <c r="R23" s="69">
        <f>MAX(0,Q23-M23)*Inputs!$B$17</f>
        <v>0</v>
      </c>
      <c r="S23" s="69">
        <f t="shared" si="3"/>
        <v>60054</v>
      </c>
      <c r="T23" s="69">
        <f t="shared" si="4"/>
        <v>160869.73</v>
      </c>
      <c r="U23" s="69">
        <f>IF(AND(Inputs!$B$79=1,B23="OPEN",A23&gt;=Inputs!$B$82,C23&gt;=Inputs!$B$91,MOD(C23-Inputs!$B$91,Inputs!$B$90)=0),MIN(MAX(0,T23-Inputs!$B$80)*Inputs!$B$81,MAX(0,H23+J23-K23)),0)</f>
        <v>0</v>
      </c>
      <c r="V23" s="69">
        <f>IF(AND(Inputs!$B$79=1,B23="OPEN",A23&gt;=Inputs!$B$82,C23&gt;=Inputs!$B$91,MOD(C23-Inputs!$B$91,Inputs!$B$90)=0),MIN(MAX(0,MAX(0,T23-Inputs!$B$80)*Inputs!$B$81-U23),MAX(0,G23-I23)),0)</f>
        <v>0</v>
      </c>
      <c r="W23" s="69">
        <f t="shared" si="5"/>
        <v>240000</v>
      </c>
      <c r="X23" s="69">
        <f t="shared" si="6"/>
        <v>900000</v>
      </c>
      <c r="Y23" s="69">
        <f t="shared" si="7"/>
        <v>1140000</v>
      </c>
      <c r="Z23" s="69">
        <f t="shared" si="8"/>
        <v>160869.73</v>
      </c>
    </row>
    <row r="24" ht="15.75" customHeight="1">
      <c r="A24" s="87">
        <f t="shared" si="9"/>
        <v>3</v>
      </c>
      <c r="B24" s="87" t="str">
        <f t="array" ref="B24">INDEX('Monthly Base'!$B$5:$B$67,A24+1)</f>
        <v>OPEN</v>
      </c>
      <c r="C24" s="87">
        <f t="array" ref="C24">INDEX('Monthly Base'!$C$5:$C$67,A24+1)</f>
        <v>1</v>
      </c>
      <c r="D24" s="69">
        <f t="array" ref="D24">INDEX('Monthly Base'!$O$5:$O$67,A24+1)</f>
        <v>-13932.15254</v>
      </c>
      <c r="E24" s="69">
        <f t="array" ref="E24">INDEX('Monthly Base'!$Y$5:$Y$67,A24+1)</f>
        <v>0</v>
      </c>
      <c r="F24" s="69">
        <f t="shared" si="10"/>
        <v>160869.73</v>
      </c>
      <c r="G24" s="69">
        <f t="shared" ref="G24:H24" si="13">W23</f>
        <v>240000</v>
      </c>
      <c r="H24" s="69">
        <f t="shared" si="13"/>
        <v>900000</v>
      </c>
      <c r="I24" s="69">
        <f>IF(OR(A24&lt;Inputs!$B$15,G24&lt;=0),0,MIN(Financing!$B$10,G24))</f>
        <v>0</v>
      </c>
      <c r="J24" s="69">
        <f>IF(OR(A24&lt;Inputs!$B$15,H24&lt;=0),0,H24*Inputs!$B$13/12)</f>
        <v>0</v>
      </c>
      <c r="K24" s="69">
        <f>IF(OR(A24&lt;Inputs!$B$15,H24&lt;=0),0,MIN(Financing!$C$10,H24+J24))</f>
        <v>0</v>
      </c>
      <c r="L24" s="69">
        <f t="shared" si="2"/>
        <v>0</v>
      </c>
      <c r="M24" s="69">
        <f t="shared" si="12"/>
        <v>60054</v>
      </c>
      <c r="N24" s="69">
        <f>IF(AND(Inputs!$B$84=1,B24="OPEN",Y23=0),Inputs!$B$85*(1+Inputs!$B$88)^MAX(0,ROUNDUP(C24/12,0)-1),0)</f>
        <v>0</v>
      </c>
      <c r="O24" s="69">
        <f>IF(AND(Inputs!$B$84=1,B24="OPEN",Y23=0),Inputs!$B$86*(1+Inputs!$B$88)^MAX(0,ROUNDUP(C24/12,0)-1),0)</f>
        <v>0</v>
      </c>
      <c r="P24" s="69">
        <f>(N24+O24)*(1+Inputs!$B$66)</f>
        <v>0</v>
      </c>
      <c r="Q24" s="69">
        <f>D24-J24-IF(C24=0,0,Inputs!$B$18)-P24</f>
        <v>-20745.15254</v>
      </c>
      <c r="R24" s="69">
        <f>MAX(0,Q24-M24)*Inputs!$B$17</f>
        <v>0</v>
      </c>
      <c r="S24" s="69">
        <f t="shared" si="3"/>
        <v>80799.15254</v>
      </c>
      <c r="T24" s="69">
        <f t="shared" si="4"/>
        <v>146937.5775</v>
      </c>
      <c r="U24" s="69">
        <f>IF(AND(Inputs!$B$79=1,B24="OPEN",A24&gt;=Inputs!$B$82,C24&gt;=Inputs!$B$91,MOD(C24-Inputs!$B$91,Inputs!$B$90)=0),MIN(MAX(0,T24-Inputs!$B$80)*Inputs!$B$81,MAX(0,H24+J24-K24)),0)</f>
        <v>0</v>
      </c>
      <c r="V24" s="69">
        <f>IF(AND(Inputs!$B$79=1,B24="OPEN",A24&gt;=Inputs!$B$82,C24&gt;=Inputs!$B$91,MOD(C24-Inputs!$B$91,Inputs!$B$90)=0),MIN(MAX(0,MAX(0,T24-Inputs!$B$80)*Inputs!$B$81-U24),MAX(0,G24-I24)),0)</f>
        <v>0</v>
      </c>
      <c r="W24" s="69">
        <f t="shared" si="5"/>
        <v>240000</v>
      </c>
      <c r="X24" s="69">
        <f t="shared" si="6"/>
        <v>900000</v>
      </c>
      <c r="Y24" s="69">
        <f t="shared" si="7"/>
        <v>1140000</v>
      </c>
      <c r="Z24" s="69">
        <f t="shared" si="8"/>
        <v>146937.5775</v>
      </c>
    </row>
    <row r="25" ht="15.75" customHeight="1">
      <c r="A25" s="87">
        <f t="shared" si="9"/>
        <v>4</v>
      </c>
      <c r="B25" s="87" t="str">
        <f t="array" ref="B25">INDEX('Monthly Base'!$B$5:$B$67,A25+1)</f>
        <v>OPEN</v>
      </c>
      <c r="C25" s="87">
        <f t="array" ref="C25">INDEX('Monthly Base'!$C$5:$C$67,A25+1)</f>
        <v>2</v>
      </c>
      <c r="D25" s="69">
        <f t="array" ref="D25">INDEX('Monthly Base'!$O$5:$O$67,A25+1)</f>
        <v>-10377.38136</v>
      </c>
      <c r="E25" s="69">
        <f t="array" ref="E25">INDEX('Monthly Base'!$Y$5:$Y$67,A25+1)</f>
        <v>0</v>
      </c>
      <c r="F25" s="69">
        <f t="shared" si="10"/>
        <v>146937.5775</v>
      </c>
      <c r="G25" s="69">
        <f t="shared" ref="G25:H25" si="14">W24</f>
        <v>240000</v>
      </c>
      <c r="H25" s="69">
        <f t="shared" si="14"/>
        <v>900000</v>
      </c>
      <c r="I25" s="69">
        <f>IF(OR(A25&lt;Inputs!$B$15,G25&lt;=0),0,MIN(Financing!$B$10,G25))</f>
        <v>0</v>
      </c>
      <c r="J25" s="69">
        <f>IF(OR(A25&lt;Inputs!$B$15,H25&lt;=0),0,H25*Inputs!$B$13/12)</f>
        <v>0</v>
      </c>
      <c r="K25" s="69">
        <f>IF(OR(A25&lt;Inputs!$B$15,H25&lt;=0),0,MIN(Financing!$C$10,H25+J25))</f>
        <v>0</v>
      </c>
      <c r="L25" s="69">
        <f t="shared" si="2"/>
        <v>0</v>
      </c>
      <c r="M25" s="69">
        <f t="shared" si="12"/>
        <v>80799.15254</v>
      </c>
      <c r="N25" s="69">
        <f>IF(AND(Inputs!$B$84=1,B25="OPEN",Y24=0),Inputs!$B$85*(1+Inputs!$B$88)^MAX(0,ROUNDUP(C25/12,0)-1),0)</f>
        <v>0</v>
      </c>
      <c r="O25" s="69">
        <f>IF(AND(Inputs!$B$84=1,B25="OPEN",Y24=0),Inputs!$B$86*(1+Inputs!$B$88)^MAX(0,ROUNDUP(C25/12,0)-1),0)</f>
        <v>0</v>
      </c>
      <c r="P25" s="69">
        <f>(N25+O25)*(1+Inputs!$B$66)</f>
        <v>0</v>
      </c>
      <c r="Q25" s="69">
        <f>D25-J25-IF(C25=0,0,Inputs!$B$18)-P25</f>
        <v>-17190.38136</v>
      </c>
      <c r="R25" s="69">
        <f>MAX(0,Q25-M25)*Inputs!$B$17</f>
        <v>0</v>
      </c>
      <c r="S25" s="69">
        <f t="shared" si="3"/>
        <v>97989.5339</v>
      </c>
      <c r="T25" s="69">
        <f t="shared" si="4"/>
        <v>136560.1961</v>
      </c>
      <c r="U25" s="69">
        <f>IF(AND(Inputs!$B$79=1,B25="OPEN",A25&gt;=Inputs!$B$82,C25&gt;=Inputs!$B$91,MOD(C25-Inputs!$B$91,Inputs!$B$90)=0),MIN(MAX(0,T25-Inputs!$B$80)*Inputs!$B$81,MAX(0,H25+J25-K25)),0)</f>
        <v>0</v>
      </c>
      <c r="V25" s="69">
        <f>IF(AND(Inputs!$B$79=1,B25="OPEN",A25&gt;=Inputs!$B$82,C25&gt;=Inputs!$B$91,MOD(C25-Inputs!$B$91,Inputs!$B$90)=0),MIN(MAX(0,MAX(0,T25-Inputs!$B$80)*Inputs!$B$81-U25),MAX(0,G25-I25)),0)</f>
        <v>0</v>
      </c>
      <c r="W25" s="69">
        <f t="shared" si="5"/>
        <v>240000</v>
      </c>
      <c r="X25" s="69">
        <f t="shared" si="6"/>
        <v>900000</v>
      </c>
      <c r="Y25" s="69">
        <f t="shared" si="7"/>
        <v>1140000</v>
      </c>
      <c r="Z25" s="69">
        <f t="shared" si="8"/>
        <v>136560.1961</v>
      </c>
    </row>
    <row r="26" ht="15.75" customHeight="1">
      <c r="A26" s="87">
        <f t="shared" si="9"/>
        <v>5</v>
      </c>
      <c r="B26" s="87" t="str">
        <f t="array" ref="B26">INDEX('Monthly Base'!$B$5:$B$67,A26+1)</f>
        <v>OPEN</v>
      </c>
      <c r="C26" s="87">
        <f t="array" ref="C26">INDEX('Monthly Base'!$C$5:$C$67,A26+1)</f>
        <v>3</v>
      </c>
      <c r="D26" s="69">
        <f t="array" ref="D26">INDEX('Monthly Base'!$O$5:$O$67,A26+1)</f>
        <v>-6635.516949</v>
      </c>
      <c r="E26" s="69">
        <f t="array" ref="E26">INDEX('Monthly Base'!$Y$5:$Y$67,A26+1)</f>
        <v>0</v>
      </c>
      <c r="F26" s="69">
        <f t="shared" si="10"/>
        <v>136560.1961</v>
      </c>
      <c r="G26" s="69">
        <f t="shared" ref="G26:H26" si="15">W25</f>
        <v>240000</v>
      </c>
      <c r="H26" s="69">
        <f t="shared" si="15"/>
        <v>900000</v>
      </c>
      <c r="I26" s="69">
        <f>IF(OR(A26&lt;Inputs!$B$15,G26&lt;=0),0,MIN(Financing!$B$10,G26))</f>
        <v>0</v>
      </c>
      <c r="J26" s="69">
        <f>IF(OR(A26&lt;Inputs!$B$15,H26&lt;=0),0,H26*Inputs!$B$13/12)</f>
        <v>0</v>
      </c>
      <c r="K26" s="69">
        <f>IF(OR(A26&lt;Inputs!$B$15,H26&lt;=0),0,MIN(Financing!$C$10,H26+J26))</f>
        <v>0</v>
      </c>
      <c r="L26" s="69">
        <f t="shared" si="2"/>
        <v>0</v>
      </c>
      <c r="M26" s="69">
        <f t="shared" si="12"/>
        <v>97989.5339</v>
      </c>
      <c r="N26" s="69">
        <f>IF(AND(Inputs!$B$84=1,B26="OPEN",Y25=0),Inputs!$B$85*(1+Inputs!$B$88)^MAX(0,ROUNDUP(C26/12,0)-1),0)</f>
        <v>0</v>
      </c>
      <c r="O26" s="69">
        <f>IF(AND(Inputs!$B$84=1,B26="OPEN",Y25=0),Inputs!$B$86*(1+Inputs!$B$88)^MAX(0,ROUNDUP(C26/12,0)-1),0)</f>
        <v>0</v>
      </c>
      <c r="P26" s="69">
        <f>(N26+O26)*(1+Inputs!$B$66)</f>
        <v>0</v>
      </c>
      <c r="Q26" s="69">
        <f>D26-J26-IF(C26=0,0,Inputs!$B$18)-P26</f>
        <v>-13448.51695</v>
      </c>
      <c r="R26" s="69">
        <f>MAX(0,Q26-M26)*Inputs!$B$17</f>
        <v>0</v>
      </c>
      <c r="S26" s="69">
        <f t="shared" si="3"/>
        <v>111438.0508</v>
      </c>
      <c r="T26" s="69">
        <f t="shared" si="4"/>
        <v>129924.6792</v>
      </c>
      <c r="U26" s="69">
        <f>IF(AND(Inputs!$B$79=1,B26="OPEN",A26&gt;=Inputs!$B$82,C26&gt;=Inputs!$B$91,MOD(C26-Inputs!$B$91,Inputs!$B$90)=0),MIN(MAX(0,T26-Inputs!$B$80)*Inputs!$B$81,MAX(0,H26+J26-K26)),0)</f>
        <v>0</v>
      </c>
      <c r="V26" s="69">
        <f>IF(AND(Inputs!$B$79=1,B26="OPEN",A26&gt;=Inputs!$B$82,C26&gt;=Inputs!$B$91,MOD(C26-Inputs!$B$91,Inputs!$B$90)=0),MIN(MAX(0,MAX(0,T26-Inputs!$B$80)*Inputs!$B$81-U26),MAX(0,G26-I26)),0)</f>
        <v>0</v>
      </c>
      <c r="W26" s="69">
        <f t="shared" si="5"/>
        <v>240000</v>
      </c>
      <c r="X26" s="69">
        <f t="shared" si="6"/>
        <v>900000</v>
      </c>
      <c r="Y26" s="69">
        <f t="shared" si="7"/>
        <v>1140000</v>
      </c>
      <c r="Z26" s="69">
        <f t="shared" si="8"/>
        <v>129924.6792</v>
      </c>
    </row>
    <row r="27" ht="15.75" customHeight="1">
      <c r="A27" s="87">
        <f t="shared" si="9"/>
        <v>6</v>
      </c>
      <c r="B27" s="87" t="str">
        <f t="array" ref="B27">INDEX('Monthly Base'!$B$5:$B$67,A27+1)</f>
        <v>OPEN</v>
      </c>
      <c r="C27" s="87">
        <f t="array" ref="C27">INDEX('Monthly Base'!$C$5:$C$67,A27+1)</f>
        <v>4</v>
      </c>
      <c r="D27" s="69">
        <f t="array" ref="D27">INDEX('Monthly Base'!$O$5:$O$67,A27+1)</f>
        <v>-3080.745763</v>
      </c>
      <c r="E27" s="69">
        <f t="array" ref="E27">INDEX('Monthly Base'!$Y$5:$Y$67,A27+1)</f>
        <v>0</v>
      </c>
      <c r="F27" s="69">
        <f t="shared" si="10"/>
        <v>129924.6792</v>
      </c>
      <c r="G27" s="69">
        <f t="shared" ref="G27:H27" si="16">W26</f>
        <v>240000</v>
      </c>
      <c r="H27" s="69">
        <f t="shared" si="16"/>
        <v>900000</v>
      </c>
      <c r="I27" s="69">
        <f>IF(OR(A27&lt;Inputs!$B$15,G27&lt;=0),0,MIN(Financing!$B$10,G27))</f>
        <v>0</v>
      </c>
      <c r="J27" s="69">
        <f>IF(OR(A27&lt;Inputs!$B$15,H27&lt;=0),0,H27*Inputs!$B$13/12)</f>
        <v>0</v>
      </c>
      <c r="K27" s="69">
        <f>IF(OR(A27&lt;Inputs!$B$15,H27&lt;=0),0,MIN(Financing!$C$10,H27+J27))</f>
        <v>0</v>
      </c>
      <c r="L27" s="69">
        <f t="shared" si="2"/>
        <v>0</v>
      </c>
      <c r="M27" s="69">
        <f t="shared" si="12"/>
        <v>111438.0508</v>
      </c>
      <c r="N27" s="69">
        <f>IF(AND(Inputs!$B$84=1,B27="OPEN",Y26=0),Inputs!$B$85*(1+Inputs!$B$88)^MAX(0,ROUNDUP(C27/12,0)-1),0)</f>
        <v>0</v>
      </c>
      <c r="O27" s="69">
        <f>IF(AND(Inputs!$B$84=1,B27="OPEN",Y26=0),Inputs!$B$86*(1+Inputs!$B$88)^MAX(0,ROUNDUP(C27/12,0)-1),0)</f>
        <v>0</v>
      </c>
      <c r="P27" s="69">
        <f>(N27+O27)*(1+Inputs!$B$66)</f>
        <v>0</v>
      </c>
      <c r="Q27" s="69">
        <f>D27-J27-IF(C27=0,0,Inputs!$B$18)-P27</f>
        <v>-9893.745763</v>
      </c>
      <c r="R27" s="69">
        <f>MAX(0,Q27-M27)*Inputs!$B$17</f>
        <v>0</v>
      </c>
      <c r="S27" s="69">
        <f t="shared" si="3"/>
        <v>121331.7966</v>
      </c>
      <c r="T27" s="69">
        <f t="shared" si="4"/>
        <v>126843.9334</v>
      </c>
      <c r="U27" s="69">
        <f>IF(AND(Inputs!$B$79=1,B27="OPEN",A27&gt;=Inputs!$B$82,C27&gt;=Inputs!$B$91,MOD(C27-Inputs!$B$91,Inputs!$B$90)=0),MIN(MAX(0,T27-Inputs!$B$80)*Inputs!$B$81,MAX(0,H27+J27-K27)),0)</f>
        <v>0</v>
      </c>
      <c r="V27" s="69">
        <f>IF(AND(Inputs!$B$79=1,B27="OPEN",A27&gt;=Inputs!$B$82,C27&gt;=Inputs!$B$91,MOD(C27-Inputs!$B$91,Inputs!$B$90)=0),MIN(MAX(0,MAX(0,T27-Inputs!$B$80)*Inputs!$B$81-U27),MAX(0,G27-I27)),0)</f>
        <v>0</v>
      </c>
      <c r="W27" s="69">
        <f t="shared" si="5"/>
        <v>240000</v>
      </c>
      <c r="X27" s="69">
        <f t="shared" si="6"/>
        <v>900000</v>
      </c>
      <c r="Y27" s="69">
        <f t="shared" si="7"/>
        <v>1140000</v>
      </c>
      <c r="Z27" s="69">
        <f t="shared" si="8"/>
        <v>126843.9334</v>
      </c>
    </row>
    <row r="28" ht="15.75" customHeight="1">
      <c r="A28" s="87">
        <f t="shared" si="9"/>
        <v>7</v>
      </c>
      <c r="B28" s="87" t="str">
        <f t="array" ref="B28">INDEX('Monthly Base'!$B$5:$B$67,A28+1)</f>
        <v>OPEN</v>
      </c>
      <c r="C28" s="87">
        <f t="array" ref="C28">INDEX('Monthly Base'!$C$5:$C$67,A28+1)</f>
        <v>5</v>
      </c>
      <c r="D28" s="69">
        <f t="array" ref="D28">INDEX('Monthly Base'!$O$5:$O$67,A28+1)</f>
        <v>474.0254237</v>
      </c>
      <c r="E28" s="69">
        <f t="array" ref="E28">INDEX('Monthly Base'!$Y$5:$Y$67,A28+1)</f>
        <v>0</v>
      </c>
      <c r="F28" s="69">
        <f t="shared" si="10"/>
        <v>126843.9334</v>
      </c>
      <c r="G28" s="69">
        <f t="shared" ref="G28:H28" si="17">W27</f>
        <v>240000</v>
      </c>
      <c r="H28" s="69">
        <f t="shared" si="17"/>
        <v>900000</v>
      </c>
      <c r="I28" s="69">
        <f>IF(OR(A28&lt;Inputs!$B$15,G28&lt;=0),0,MIN(Financing!$B$10,G28))</f>
        <v>0</v>
      </c>
      <c r="J28" s="69">
        <f>IF(OR(A28&lt;Inputs!$B$15,H28&lt;=0),0,H28*Inputs!$B$13/12)</f>
        <v>0</v>
      </c>
      <c r="K28" s="69">
        <f>IF(OR(A28&lt;Inputs!$B$15,H28&lt;=0),0,MIN(Financing!$C$10,H28+J28))</f>
        <v>0</v>
      </c>
      <c r="L28" s="69">
        <f t="shared" si="2"/>
        <v>0</v>
      </c>
      <c r="M28" s="69">
        <f t="shared" si="12"/>
        <v>121331.7966</v>
      </c>
      <c r="N28" s="69">
        <f>IF(AND(Inputs!$B$84=1,B28="OPEN",Y27=0),Inputs!$B$85*(1+Inputs!$B$88)^MAX(0,ROUNDUP(C28/12,0)-1),0)</f>
        <v>0</v>
      </c>
      <c r="O28" s="69">
        <f>IF(AND(Inputs!$B$84=1,B28="OPEN",Y27=0),Inputs!$B$86*(1+Inputs!$B$88)^MAX(0,ROUNDUP(C28/12,0)-1),0)</f>
        <v>0</v>
      </c>
      <c r="P28" s="69">
        <f>(N28+O28)*(1+Inputs!$B$66)</f>
        <v>0</v>
      </c>
      <c r="Q28" s="69">
        <f>D28-J28-IF(C28=0,0,Inputs!$B$18)-P28</f>
        <v>-6338.974576</v>
      </c>
      <c r="R28" s="69">
        <f>MAX(0,Q28-M28)*Inputs!$B$17</f>
        <v>0</v>
      </c>
      <c r="S28" s="69">
        <f t="shared" si="3"/>
        <v>127670.7712</v>
      </c>
      <c r="T28" s="69">
        <f t="shared" si="4"/>
        <v>127317.9588</v>
      </c>
      <c r="U28" s="69">
        <f>IF(AND(Inputs!$B$79=1,B28="OPEN",A28&gt;=Inputs!$B$82,C28&gt;=Inputs!$B$91,MOD(C28-Inputs!$B$91,Inputs!$B$90)=0),MIN(MAX(0,T28-Inputs!$B$80)*Inputs!$B$81,MAX(0,H28+J28-K28)),0)</f>
        <v>0</v>
      </c>
      <c r="V28" s="69">
        <f>IF(AND(Inputs!$B$79=1,B28="OPEN",A28&gt;=Inputs!$B$82,C28&gt;=Inputs!$B$91,MOD(C28-Inputs!$B$91,Inputs!$B$90)=0),MIN(MAX(0,MAX(0,T28-Inputs!$B$80)*Inputs!$B$81-U28),MAX(0,G28-I28)),0)</f>
        <v>0</v>
      </c>
      <c r="W28" s="69">
        <f t="shared" si="5"/>
        <v>240000</v>
      </c>
      <c r="X28" s="69">
        <f t="shared" si="6"/>
        <v>900000</v>
      </c>
      <c r="Y28" s="69">
        <f t="shared" si="7"/>
        <v>1140000</v>
      </c>
      <c r="Z28" s="69">
        <f t="shared" si="8"/>
        <v>127317.9588</v>
      </c>
    </row>
    <row r="29" ht="15.75" customHeight="1">
      <c r="A29" s="87">
        <f t="shared" si="9"/>
        <v>8</v>
      </c>
      <c r="B29" s="87" t="str">
        <f t="array" ref="B29">INDEX('Monthly Base'!$B$5:$B$67,A29+1)</f>
        <v>OPEN</v>
      </c>
      <c r="C29" s="87">
        <f t="array" ref="C29">INDEX('Monthly Base'!$C$5:$C$67,A29+1)</f>
        <v>6</v>
      </c>
      <c r="D29" s="69">
        <f t="array" ref="D29">INDEX('Monthly Base'!$O$5:$O$67,A29+1)</f>
        <v>4028.79661</v>
      </c>
      <c r="E29" s="69">
        <f t="array" ref="E29">INDEX('Monthly Base'!$Y$5:$Y$67,A29+1)</f>
        <v>0</v>
      </c>
      <c r="F29" s="69">
        <f t="shared" si="10"/>
        <v>127317.9588</v>
      </c>
      <c r="G29" s="69">
        <f t="shared" ref="G29:H29" si="18">W28</f>
        <v>240000</v>
      </c>
      <c r="H29" s="69">
        <f t="shared" si="18"/>
        <v>900000</v>
      </c>
      <c r="I29" s="69">
        <f>IF(OR(A29&lt;Inputs!$B$15,G29&lt;=0),0,MIN(Financing!$B$10,G29))</f>
        <v>0</v>
      </c>
      <c r="J29" s="69">
        <f>IF(OR(A29&lt;Inputs!$B$15,H29&lt;=0),0,H29*Inputs!$B$13/12)</f>
        <v>0</v>
      </c>
      <c r="K29" s="69">
        <f>IF(OR(A29&lt;Inputs!$B$15,H29&lt;=0),0,MIN(Financing!$C$10,H29+J29))</f>
        <v>0</v>
      </c>
      <c r="L29" s="69">
        <f t="shared" si="2"/>
        <v>0</v>
      </c>
      <c r="M29" s="69">
        <f t="shared" si="12"/>
        <v>127670.7712</v>
      </c>
      <c r="N29" s="69">
        <f>IF(AND(Inputs!$B$84=1,B29="OPEN",Y28=0),Inputs!$B$85*(1+Inputs!$B$88)^MAX(0,ROUNDUP(C29/12,0)-1),0)</f>
        <v>0</v>
      </c>
      <c r="O29" s="69">
        <f>IF(AND(Inputs!$B$84=1,B29="OPEN",Y28=0),Inputs!$B$86*(1+Inputs!$B$88)^MAX(0,ROUNDUP(C29/12,0)-1),0)</f>
        <v>0</v>
      </c>
      <c r="P29" s="69">
        <f>(N29+O29)*(1+Inputs!$B$66)</f>
        <v>0</v>
      </c>
      <c r="Q29" s="69">
        <f>D29-J29-IF(C29=0,0,Inputs!$B$18)-P29</f>
        <v>-2784.20339</v>
      </c>
      <c r="R29" s="69">
        <f>MAX(0,Q29-M29)*Inputs!$B$17</f>
        <v>0</v>
      </c>
      <c r="S29" s="69">
        <f t="shared" si="3"/>
        <v>130454.9746</v>
      </c>
      <c r="T29" s="69">
        <f t="shared" si="4"/>
        <v>131346.7554</v>
      </c>
      <c r="U29" s="69">
        <f>IF(AND(Inputs!$B$79=1,B29="OPEN",A29&gt;=Inputs!$B$82,C29&gt;=Inputs!$B$91,MOD(C29-Inputs!$B$91,Inputs!$B$90)=0),MIN(MAX(0,T29-Inputs!$B$80)*Inputs!$B$81,MAX(0,H29+J29-K29)),0)</f>
        <v>0</v>
      </c>
      <c r="V29" s="69">
        <f>IF(AND(Inputs!$B$79=1,B29="OPEN",A29&gt;=Inputs!$B$82,C29&gt;=Inputs!$B$91,MOD(C29-Inputs!$B$91,Inputs!$B$90)=0),MIN(MAX(0,MAX(0,T29-Inputs!$B$80)*Inputs!$B$81-U29),MAX(0,G29-I29)),0)</f>
        <v>0</v>
      </c>
      <c r="W29" s="69">
        <f t="shared" si="5"/>
        <v>240000</v>
      </c>
      <c r="X29" s="69">
        <f t="shared" si="6"/>
        <v>900000</v>
      </c>
      <c r="Y29" s="69">
        <f t="shared" si="7"/>
        <v>1140000</v>
      </c>
      <c r="Z29" s="69">
        <f t="shared" si="8"/>
        <v>131346.7554</v>
      </c>
    </row>
    <row r="30" ht="15.75" customHeight="1">
      <c r="A30" s="87">
        <f t="shared" si="9"/>
        <v>9</v>
      </c>
      <c r="B30" s="87" t="str">
        <f t="array" ref="B30">INDEX('Monthly Base'!$B$5:$B$67,A30+1)</f>
        <v>OPEN</v>
      </c>
      <c r="C30" s="87">
        <f t="array" ref="C30">INDEX('Monthly Base'!$C$5:$C$67,A30+1)</f>
        <v>7</v>
      </c>
      <c r="D30" s="69">
        <f t="array" ref="D30">INDEX('Monthly Base'!$O$5:$O$67,A30+1)</f>
        <v>7770.661017</v>
      </c>
      <c r="E30" s="69">
        <f t="array" ref="E30">INDEX('Monthly Base'!$Y$5:$Y$67,A30+1)</f>
        <v>0</v>
      </c>
      <c r="F30" s="69">
        <f t="shared" si="10"/>
        <v>131346.7554</v>
      </c>
      <c r="G30" s="69">
        <f t="shared" ref="G30:H30" si="19">W29</f>
        <v>240000</v>
      </c>
      <c r="H30" s="69">
        <f t="shared" si="19"/>
        <v>900000</v>
      </c>
      <c r="I30" s="69">
        <f>IF(OR(A30&lt;Inputs!$B$15,G30&lt;=0),0,MIN(Financing!$B$10,G30))</f>
        <v>0</v>
      </c>
      <c r="J30" s="69">
        <f>IF(OR(A30&lt;Inputs!$B$15,H30&lt;=0),0,H30*Inputs!$B$13/12)</f>
        <v>0</v>
      </c>
      <c r="K30" s="69">
        <f>IF(OR(A30&lt;Inputs!$B$15,H30&lt;=0),0,MIN(Financing!$C$10,H30+J30))</f>
        <v>0</v>
      </c>
      <c r="L30" s="69">
        <f t="shared" si="2"/>
        <v>0</v>
      </c>
      <c r="M30" s="69">
        <f t="shared" si="12"/>
        <v>130454.9746</v>
      </c>
      <c r="N30" s="69">
        <f>IF(AND(Inputs!$B$84=1,B30="OPEN",Y29=0),Inputs!$B$85*(1+Inputs!$B$88)^MAX(0,ROUNDUP(C30/12,0)-1),0)</f>
        <v>0</v>
      </c>
      <c r="O30" s="69">
        <f>IF(AND(Inputs!$B$84=1,B30="OPEN",Y29=0),Inputs!$B$86*(1+Inputs!$B$88)^MAX(0,ROUNDUP(C30/12,0)-1),0)</f>
        <v>0</v>
      </c>
      <c r="P30" s="69">
        <f>(N30+O30)*(1+Inputs!$B$66)</f>
        <v>0</v>
      </c>
      <c r="Q30" s="69">
        <f>D30-J30-IF(C30=0,0,Inputs!$B$18)-P30</f>
        <v>957.6610169</v>
      </c>
      <c r="R30" s="69">
        <f>MAX(0,Q30-M30)*Inputs!$B$17</f>
        <v>0</v>
      </c>
      <c r="S30" s="69">
        <f t="shared" si="3"/>
        <v>129497.3136</v>
      </c>
      <c r="T30" s="69">
        <f t="shared" si="4"/>
        <v>139117.4164</v>
      </c>
      <c r="U30" s="69">
        <f>IF(AND(Inputs!$B$79=1,B30="OPEN",A30&gt;=Inputs!$B$82,C30&gt;=Inputs!$B$91,MOD(C30-Inputs!$B$91,Inputs!$B$90)=0),MIN(MAX(0,T30-Inputs!$B$80)*Inputs!$B$81,MAX(0,H30+J30-K30)),0)</f>
        <v>0</v>
      </c>
      <c r="V30" s="69">
        <f>IF(AND(Inputs!$B$79=1,B30="OPEN",A30&gt;=Inputs!$B$82,C30&gt;=Inputs!$B$91,MOD(C30-Inputs!$B$91,Inputs!$B$90)=0),MIN(MAX(0,MAX(0,T30-Inputs!$B$80)*Inputs!$B$81-U30),MAX(0,G30-I30)),0)</f>
        <v>0</v>
      </c>
      <c r="W30" s="69">
        <f t="shared" si="5"/>
        <v>240000</v>
      </c>
      <c r="X30" s="69">
        <f t="shared" si="6"/>
        <v>900000</v>
      </c>
      <c r="Y30" s="69">
        <f t="shared" si="7"/>
        <v>1140000</v>
      </c>
      <c r="Z30" s="69">
        <f t="shared" si="8"/>
        <v>139117.4164</v>
      </c>
    </row>
    <row r="31" ht="15.75" customHeight="1">
      <c r="A31" s="87">
        <f t="shared" si="9"/>
        <v>10</v>
      </c>
      <c r="B31" s="87" t="str">
        <f t="array" ref="B31">INDEX('Monthly Base'!$B$5:$B$67,A31+1)</f>
        <v>OPEN</v>
      </c>
      <c r="C31" s="87">
        <f t="array" ref="C31">INDEX('Monthly Base'!$C$5:$C$67,A31+1)</f>
        <v>8</v>
      </c>
      <c r="D31" s="69">
        <f t="array" ref="D31">INDEX('Monthly Base'!$O$5:$O$67,A31+1)</f>
        <v>11325.4322</v>
      </c>
      <c r="E31" s="69">
        <f t="array" ref="E31">INDEX('Monthly Base'!$Y$5:$Y$67,A31+1)</f>
        <v>0</v>
      </c>
      <c r="F31" s="69">
        <f t="shared" si="10"/>
        <v>139117.4164</v>
      </c>
      <c r="G31" s="69">
        <f t="shared" ref="G31:H31" si="20">W30</f>
        <v>240000</v>
      </c>
      <c r="H31" s="69">
        <f t="shared" si="20"/>
        <v>900000</v>
      </c>
      <c r="I31" s="69">
        <f>IF(OR(A31&lt;Inputs!$B$15,G31&lt;=0),0,MIN(Financing!$B$10,G31))</f>
        <v>0</v>
      </c>
      <c r="J31" s="69">
        <f>IF(OR(A31&lt;Inputs!$B$15,H31&lt;=0),0,H31*Inputs!$B$13/12)</f>
        <v>0</v>
      </c>
      <c r="K31" s="69">
        <f>IF(OR(A31&lt;Inputs!$B$15,H31&lt;=0),0,MIN(Financing!$C$10,H31+J31))</f>
        <v>0</v>
      </c>
      <c r="L31" s="69">
        <f t="shared" si="2"/>
        <v>0</v>
      </c>
      <c r="M31" s="69">
        <f t="shared" si="12"/>
        <v>129497.3136</v>
      </c>
      <c r="N31" s="69">
        <f>IF(AND(Inputs!$B$84=1,B31="OPEN",Y30=0),Inputs!$B$85*(1+Inputs!$B$88)^MAX(0,ROUNDUP(C31/12,0)-1),0)</f>
        <v>0</v>
      </c>
      <c r="O31" s="69">
        <f>IF(AND(Inputs!$B$84=1,B31="OPEN",Y30=0),Inputs!$B$86*(1+Inputs!$B$88)^MAX(0,ROUNDUP(C31/12,0)-1),0)</f>
        <v>0</v>
      </c>
      <c r="P31" s="69">
        <f>(N31+O31)*(1+Inputs!$B$66)</f>
        <v>0</v>
      </c>
      <c r="Q31" s="69">
        <f>D31-J31-IF(C31=0,0,Inputs!$B$18)-P31</f>
        <v>4512.432203</v>
      </c>
      <c r="R31" s="69">
        <f>MAX(0,Q31-M31)*Inputs!$B$17</f>
        <v>0</v>
      </c>
      <c r="S31" s="69">
        <f t="shared" si="3"/>
        <v>124984.8814</v>
      </c>
      <c r="T31" s="69">
        <f t="shared" si="4"/>
        <v>150442.8486</v>
      </c>
      <c r="U31" s="69">
        <f>IF(AND(Inputs!$B$79=1,B31="OPEN",A31&gt;=Inputs!$B$82,C31&gt;=Inputs!$B$91,MOD(C31-Inputs!$B$91,Inputs!$B$90)=0),MIN(MAX(0,T31-Inputs!$B$80)*Inputs!$B$81,MAX(0,H31+J31-K31)),0)</f>
        <v>0</v>
      </c>
      <c r="V31" s="69">
        <f>IF(AND(Inputs!$B$79=1,B31="OPEN",A31&gt;=Inputs!$B$82,C31&gt;=Inputs!$B$91,MOD(C31-Inputs!$B$91,Inputs!$B$90)=0),MIN(MAX(0,MAX(0,T31-Inputs!$B$80)*Inputs!$B$81-U31),MAX(0,G31-I31)),0)</f>
        <v>0</v>
      </c>
      <c r="W31" s="69">
        <f t="shared" si="5"/>
        <v>240000</v>
      </c>
      <c r="X31" s="69">
        <f t="shared" si="6"/>
        <v>900000</v>
      </c>
      <c r="Y31" s="69">
        <f t="shared" si="7"/>
        <v>1140000</v>
      </c>
      <c r="Z31" s="69">
        <f t="shared" si="8"/>
        <v>150442.8486</v>
      </c>
    </row>
    <row r="32" ht="15.75" customHeight="1">
      <c r="A32" s="87">
        <f t="shared" si="9"/>
        <v>11</v>
      </c>
      <c r="B32" s="87" t="str">
        <f t="array" ref="B32">INDEX('Monthly Base'!$B$5:$B$67,A32+1)</f>
        <v>OPEN</v>
      </c>
      <c r="C32" s="87">
        <f t="array" ref="C32">INDEX('Monthly Base'!$C$5:$C$67,A32+1)</f>
        <v>9</v>
      </c>
      <c r="D32" s="69">
        <f t="array" ref="D32">INDEX('Monthly Base'!$O$5:$O$67,A32+1)</f>
        <v>14880.20339</v>
      </c>
      <c r="E32" s="69">
        <f t="array" ref="E32">INDEX('Monthly Base'!$Y$5:$Y$67,A32+1)</f>
        <v>0</v>
      </c>
      <c r="F32" s="69">
        <f t="shared" si="10"/>
        <v>150442.8486</v>
      </c>
      <c r="G32" s="69">
        <f t="shared" ref="G32:H32" si="21">W31</f>
        <v>240000</v>
      </c>
      <c r="H32" s="69">
        <f t="shared" si="21"/>
        <v>900000</v>
      </c>
      <c r="I32" s="69">
        <f>IF(OR(A32&lt;Inputs!$B$15,G32&lt;=0),0,MIN(Financing!$B$10,G32))</f>
        <v>0</v>
      </c>
      <c r="J32" s="69">
        <f>IF(OR(A32&lt;Inputs!$B$15,H32&lt;=0),0,H32*Inputs!$B$13/12)</f>
        <v>0</v>
      </c>
      <c r="K32" s="69">
        <f>IF(OR(A32&lt;Inputs!$B$15,H32&lt;=0),0,MIN(Financing!$C$10,H32+J32))</f>
        <v>0</v>
      </c>
      <c r="L32" s="69">
        <f t="shared" si="2"/>
        <v>0</v>
      </c>
      <c r="M32" s="69">
        <f t="shared" si="12"/>
        <v>124984.8814</v>
      </c>
      <c r="N32" s="69">
        <f>IF(AND(Inputs!$B$84=1,B32="OPEN",Y31=0),Inputs!$B$85*(1+Inputs!$B$88)^MAX(0,ROUNDUP(C32/12,0)-1),0)</f>
        <v>0</v>
      </c>
      <c r="O32" s="69">
        <f>IF(AND(Inputs!$B$84=1,B32="OPEN",Y31=0),Inputs!$B$86*(1+Inputs!$B$88)^MAX(0,ROUNDUP(C32/12,0)-1),0)</f>
        <v>0</v>
      </c>
      <c r="P32" s="69">
        <f>(N32+O32)*(1+Inputs!$B$66)</f>
        <v>0</v>
      </c>
      <c r="Q32" s="69">
        <f>D32-J32-IF(C32=0,0,Inputs!$B$18)-P32</f>
        <v>8067.20339</v>
      </c>
      <c r="R32" s="69">
        <f>MAX(0,Q32-M32)*Inputs!$B$17</f>
        <v>0</v>
      </c>
      <c r="S32" s="69">
        <f t="shared" si="3"/>
        <v>116917.678</v>
      </c>
      <c r="T32" s="69">
        <f t="shared" si="4"/>
        <v>165323.052</v>
      </c>
      <c r="U32" s="69">
        <f>IF(AND(Inputs!$B$79=1,B32="OPEN",A32&gt;=Inputs!$B$82,C32&gt;=Inputs!$B$91,MOD(C32-Inputs!$B$91,Inputs!$B$90)=0),MIN(MAX(0,T32-Inputs!$B$80)*Inputs!$B$81,MAX(0,H32+J32-K32)),0)</f>
        <v>0</v>
      </c>
      <c r="V32" s="69">
        <f>IF(AND(Inputs!$B$79=1,B32="OPEN",A32&gt;=Inputs!$B$82,C32&gt;=Inputs!$B$91,MOD(C32-Inputs!$B$91,Inputs!$B$90)=0),MIN(MAX(0,MAX(0,T32-Inputs!$B$80)*Inputs!$B$81-U32),MAX(0,G32-I32)),0)</f>
        <v>0</v>
      </c>
      <c r="W32" s="69">
        <f t="shared" si="5"/>
        <v>240000</v>
      </c>
      <c r="X32" s="69">
        <f t="shared" si="6"/>
        <v>900000</v>
      </c>
      <c r="Y32" s="69">
        <f t="shared" si="7"/>
        <v>1140000</v>
      </c>
      <c r="Z32" s="69">
        <f t="shared" si="8"/>
        <v>165323.052</v>
      </c>
    </row>
    <row r="33" ht="15.75" customHeight="1">
      <c r="A33" s="87">
        <f t="shared" si="9"/>
        <v>12</v>
      </c>
      <c r="B33" s="87" t="str">
        <f t="array" ref="B33">INDEX('Monthly Base'!$B$5:$B$67,A33+1)</f>
        <v>OPEN</v>
      </c>
      <c r="C33" s="87">
        <f t="array" ref="C33">INDEX('Monthly Base'!$C$5:$C$67,A33+1)</f>
        <v>10</v>
      </c>
      <c r="D33" s="69">
        <f t="array" ref="D33">INDEX('Monthly Base'!$O$5:$O$67,A33+1)</f>
        <v>18434.97458</v>
      </c>
      <c r="E33" s="69">
        <f t="array" ref="E33">INDEX('Monthly Base'!$Y$5:$Y$67,A33+1)</f>
        <v>0</v>
      </c>
      <c r="F33" s="69">
        <f t="shared" si="10"/>
        <v>165323.052</v>
      </c>
      <c r="G33" s="69">
        <f t="shared" ref="G33:H33" si="22">W32</f>
        <v>240000</v>
      </c>
      <c r="H33" s="69">
        <f t="shared" si="22"/>
        <v>900000</v>
      </c>
      <c r="I33" s="69">
        <f>IF(OR(A33&lt;Inputs!$B$15,G33&lt;=0),0,MIN(Financing!$B$10,G33))</f>
        <v>4000</v>
      </c>
      <c r="J33" s="69">
        <f>IF(OR(A33&lt;Inputs!$B$15,H33&lt;=0),0,H33*Inputs!$B$13/12)</f>
        <v>3562.5</v>
      </c>
      <c r="K33" s="69">
        <f>IF(OR(A33&lt;Inputs!$B$15,H33&lt;=0),0,MIN(Financing!$C$10,H33+J33))</f>
        <v>16881.22078</v>
      </c>
      <c r="L33" s="69">
        <f t="shared" si="2"/>
        <v>20881.22078</v>
      </c>
      <c r="M33" s="69">
        <f t="shared" si="12"/>
        <v>116917.678</v>
      </c>
      <c r="N33" s="69">
        <f>IF(AND(Inputs!$B$84=1,B33="OPEN",Y32=0),Inputs!$B$85*(1+Inputs!$B$88)^MAX(0,ROUNDUP(C33/12,0)-1),0)</f>
        <v>0</v>
      </c>
      <c r="O33" s="69">
        <f>IF(AND(Inputs!$B$84=1,B33="OPEN",Y32=0),Inputs!$B$86*(1+Inputs!$B$88)^MAX(0,ROUNDUP(C33/12,0)-1),0)</f>
        <v>0</v>
      </c>
      <c r="P33" s="69">
        <f>(N33+O33)*(1+Inputs!$B$66)</f>
        <v>0</v>
      </c>
      <c r="Q33" s="69">
        <f>D33-J33-IF(C33=0,0,Inputs!$B$18)-P33</f>
        <v>8059.474576</v>
      </c>
      <c r="R33" s="69">
        <f>MAX(0,Q33-M33)*Inputs!$B$17</f>
        <v>0</v>
      </c>
      <c r="S33" s="69">
        <f t="shared" si="3"/>
        <v>108858.2034</v>
      </c>
      <c r="T33" s="69">
        <f t="shared" si="4"/>
        <v>162876.8058</v>
      </c>
      <c r="U33" s="69">
        <f>IF(AND(Inputs!$B$79=1,B33="OPEN",A33&gt;=Inputs!$B$82,C33&gt;=Inputs!$B$91,MOD(C33-Inputs!$B$91,Inputs!$B$90)=0),MIN(MAX(0,T33-Inputs!$B$80)*Inputs!$B$81,MAX(0,H33+J33-K33)),0)</f>
        <v>0</v>
      </c>
      <c r="V33" s="69">
        <f>IF(AND(Inputs!$B$79=1,B33="OPEN",A33&gt;=Inputs!$B$82,C33&gt;=Inputs!$B$91,MOD(C33-Inputs!$B$91,Inputs!$B$90)=0),MIN(MAX(0,MAX(0,T33-Inputs!$B$80)*Inputs!$B$81-U33),MAX(0,G33-I33)),0)</f>
        <v>0</v>
      </c>
      <c r="W33" s="69">
        <f t="shared" si="5"/>
        <v>236000</v>
      </c>
      <c r="X33" s="69">
        <f t="shared" si="6"/>
        <v>886681.2792</v>
      </c>
      <c r="Y33" s="69">
        <f t="shared" si="7"/>
        <v>1122681.279</v>
      </c>
      <c r="Z33" s="69">
        <f t="shared" si="8"/>
        <v>162876.8058</v>
      </c>
    </row>
    <row r="34" ht="15.75" customHeight="1">
      <c r="A34" s="87">
        <f t="shared" si="9"/>
        <v>13</v>
      </c>
      <c r="B34" s="87" t="str">
        <f t="array" ref="B34">INDEX('Monthly Base'!$B$5:$B$67,A34+1)</f>
        <v>OPEN</v>
      </c>
      <c r="C34" s="87">
        <f t="array" ref="C34">INDEX('Monthly Base'!$C$5:$C$67,A34+1)</f>
        <v>11</v>
      </c>
      <c r="D34" s="69">
        <f t="array" ref="D34">INDEX('Monthly Base'!$O$5:$O$67,A34+1)</f>
        <v>22176.83898</v>
      </c>
      <c r="E34" s="69">
        <f t="array" ref="E34">INDEX('Monthly Base'!$Y$5:$Y$67,A34+1)</f>
        <v>0</v>
      </c>
      <c r="F34" s="69">
        <f t="shared" si="10"/>
        <v>162876.8058</v>
      </c>
      <c r="G34" s="69">
        <f t="shared" ref="G34:H34" si="23">W33</f>
        <v>236000</v>
      </c>
      <c r="H34" s="69">
        <f t="shared" si="23"/>
        <v>886681.2792</v>
      </c>
      <c r="I34" s="69">
        <f>IF(OR(A34&lt;Inputs!$B$15,G34&lt;=0),0,MIN(Financing!$B$10,G34))</f>
        <v>4000</v>
      </c>
      <c r="J34" s="69">
        <f>IF(OR(A34&lt;Inputs!$B$15,H34&lt;=0),0,H34*Inputs!$B$13/12)</f>
        <v>3509.780064</v>
      </c>
      <c r="K34" s="69">
        <f>IF(OR(A34&lt;Inputs!$B$15,H34&lt;=0),0,MIN(Financing!$C$10,H34+J34))</f>
        <v>16881.22078</v>
      </c>
      <c r="L34" s="69">
        <f t="shared" si="2"/>
        <v>20881.22078</v>
      </c>
      <c r="M34" s="69">
        <f t="shared" si="12"/>
        <v>108858.2034</v>
      </c>
      <c r="N34" s="69">
        <f>IF(AND(Inputs!$B$84=1,B34="OPEN",Y33=0),Inputs!$B$85*(1+Inputs!$B$88)^MAX(0,ROUNDUP(C34/12,0)-1),0)</f>
        <v>0</v>
      </c>
      <c r="O34" s="69">
        <f>IF(AND(Inputs!$B$84=1,B34="OPEN",Y33=0),Inputs!$B$86*(1+Inputs!$B$88)^MAX(0,ROUNDUP(C34/12,0)-1),0)</f>
        <v>0</v>
      </c>
      <c r="P34" s="69">
        <f>(N34+O34)*(1+Inputs!$B$66)</f>
        <v>0</v>
      </c>
      <c r="Q34" s="69">
        <f>D34-J34-IF(C34=0,0,Inputs!$B$18)-P34</f>
        <v>11854.05892</v>
      </c>
      <c r="R34" s="69">
        <f>MAX(0,Q34-M34)*Inputs!$B$17</f>
        <v>0</v>
      </c>
      <c r="S34" s="69">
        <f t="shared" si="3"/>
        <v>97004.14447</v>
      </c>
      <c r="T34" s="69">
        <f t="shared" si="4"/>
        <v>164172.424</v>
      </c>
      <c r="U34" s="69">
        <f>IF(AND(Inputs!$B$79=1,B34="OPEN",A34&gt;=Inputs!$B$82,C34&gt;=Inputs!$B$91,MOD(C34-Inputs!$B$91,Inputs!$B$90)=0),MIN(MAX(0,T34-Inputs!$B$80)*Inputs!$B$81,MAX(0,H34+J34-K34)),0)</f>
        <v>0</v>
      </c>
      <c r="V34" s="69">
        <f>IF(AND(Inputs!$B$79=1,B34="OPEN",A34&gt;=Inputs!$B$82,C34&gt;=Inputs!$B$91,MOD(C34-Inputs!$B$91,Inputs!$B$90)=0),MIN(MAX(0,MAX(0,T34-Inputs!$B$80)*Inputs!$B$81-U34),MAX(0,G34-I34)),0)</f>
        <v>0</v>
      </c>
      <c r="W34" s="69">
        <f t="shared" si="5"/>
        <v>232000</v>
      </c>
      <c r="X34" s="69">
        <f t="shared" si="6"/>
        <v>873309.8385</v>
      </c>
      <c r="Y34" s="69">
        <f t="shared" si="7"/>
        <v>1105309.839</v>
      </c>
      <c r="Z34" s="69">
        <f t="shared" si="8"/>
        <v>164172.424</v>
      </c>
    </row>
    <row r="35" ht="15.75" customHeight="1">
      <c r="A35" s="87">
        <f t="shared" si="9"/>
        <v>14</v>
      </c>
      <c r="B35" s="87" t="str">
        <f t="array" ref="B35">INDEX('Monthly Base'!$B$5:$B$67,A35+1)</f>
        <v>OPEN</v>
      </c>
      <c r="C35" s="87">
        <f t="array" ref="C35">INDEX('Monthly Base'!$C$5:$C$67,A35+1)</f>
        <v>12</v>
      </c>
      <c r="D35" s="69">
        <f t="array" ref="D35">INDEX('Monthly Base'!$O$5:$O$67,A35+1)</f>
        <v>25731.61017</v>
      </c>
      <c r="E35" s="69">
        <f t="array" ref="E35">INDEX('Monthly Base'!$Y$5:$Y$67,A35+1)</f>
        <v>0</v>
      </c>
      <c r="F35" s="69">
        <f t="shared" si="10"/>
        <v>164172.424</v>
      </c>
      <c r="G35" s="69">
        <f t="shared" ref="G35:H35" si="24">W34</f>
        <v>232000</v>
      </c>
      <c r="H35" s="69">
        <f t="shared" si="24"/>
        <v>873309.8385</v>
      </c>
      <c r="I35" s="69">
        <f>IF(OR(A35&lt;Inputs!$B$15,G35&lt;=0),0,MIN(Financing!$B$10,G35))</f>
        <v>4000</v>
      </c>
      <c r="J35" s="69">
        <f>IF(OR(A35&lt;Inputs!$B$15,H35&lt;=0),0,H35*Inputs!$B$13/12)</f>
        <v>3456.851444</v>
      </c>
      <c r="K35" s="69">
        <f>IF(OR(A35&lt;Inputs!$B$15,H35&lt;=0),0,MIN(Financing!$C$10,H35+J35))</f>
        <v>16881.22078</v>
      </c>
      <c r="L35" s="69">
        <f t="shared" si="2"/>
        <v>20881.22078</v>
      </c>
      <c r="M35" s="69">
        <f t="shared" si="12"/>
        <v>97004.14447</v>
      </c>
      <c r="N35" s="69">
        <f>IF(AND(Inputs!$B$84=1,B35="OPEN",Y34=0),Inputs!$B$85*(1+Inputs!$B$88)^MAX(0,ROUNDUP(C35/12,0)-1),0)</f>
        <v>0</v>
      </c>
      <c r="O35" s="69">
        <f>IF(AND(Inputs!$B$84=1,B35="OPEN",Y34=0),Inputs!$B$86*(1+Inputs!$B$88)^MAX(0,ROUNDUP(C35/12,0)-1),0)</f>
        <v>0</v>
      </c>
      <c r="P35" s="69">
        <f>(N35+O35)*(1+Inputs!$B$66)</f>
        <v>0</v>
      </c>
      <c r="Q35" s="69">
        <f>D35-J35-IF(C35=0,0,Inputs!$B$18)-P35</f>
        <v>15461.75873</v>
      </c>
      <c r="R35" s="69">
        <f>MAX(0,Q35-M35)*Inputs!$B$17</f>
        <v>0</v>
      </c>
      <c r="S35" s="69">
        <f t="shared" si="3"/>
        <v>81542.38574</v>
      </c>
      <c r="T35" s="69">
        <f t="shared" si="4"/>
        <v>169022.8134</v>
      </c>
      <c r="U35" s="69">
        <f>IF(AND(Inputs!$B$79=1,B35="OPEN",A35&gt;=Inputs!$B$82,C35&gt;=Inputs!$B$91,MOD(C35-Inputs!$B$91,Inputs!$B$90)=0),MIN(MAX(0,T35-Inputs!$B$80)*Inputs!$B$81,MAX(0,H35+J35-K35)),0)</f>
        <v>19022.81342</v>
      </c>
      <c r="V35" s="69">
        <f>IF(AND(Inputs!$B$79=1,B35="OPEN",A35&gt;=Inputs!$B$82,C35&gt;=Inputs!$B$91,MOD(C35-Inputs!$B$91,Inputs!$B$90)=0),MIN(MAX(0,MAX(0,T35-Inputs!$B$80)*Inputs!$B$81-U35),MAX(0,G35-I35)),0)</f>
        <v>0</v>
      </c>
      <c r="W35" s="69">
        <f t="shared" si="5"/>
        <v>228000</v>
      </c>
      <c r="X35" s="69">
        <f t="shared" si="6"/>
        <v>840862.6557</v>
      </c>
      <c r="Y35" s="69">
        <f t="shared" si="7"/>
        <v>1068862.656</v>
      </c>
      <c r="Z35" s="69">
        <f t="shared" si="8"/>
        <v>150000</v>
      </c>
    </row>
    <row r="36" ht="15.75" customHeight="1">
      <c r="A36" s="87">
        <f t="shared" si="9"/>
        <v>15</v>
      </c>
      <c r="B36" s="87" t="str">
        <f t="array" ref="B36">INDEX('Monthly Base'!$B$5:$B$67,A36+1)</f>
        <v>OPEN</v>
      </c>
      <c r="C36" s="87">
        <f t="array" ref="C36">INDEX('Monthly Base'!$C$5:$C$67,A36+1)</f>
        <v>13</v>
      </c>
      <c r="D36" s="69">
        <f t="array" ref="D36">INDEX('Monthly Base'!$O$5:$O$67,A36+1)</f>
        <v>28163.82203</v>
      </c>
      <c r="E36" s="69">
        <f t="array" ref="E36">INDEX('Monthly Base'!$Y$5:$Y$67,A36+1)</f>
        <v>0</v>
      </c>
      <c r="F36" s="69">
        <f t="shared" si="10"/>
        <v>150000</v>
      </c>
      <c r="G36" s="69">
        <f t="shared" ref="G36:H36" si="25">W35</f>
        <v>228000</v>
      </c>
      <c r="H36" s="69">
        <f t="shared" si="25"/>
        <v>840862.6557</v>
      </c>
      <c r="I36" s="69">
        <f>IF(OR(A36&lt;Inputs!$B$15,G36&lt;=0),0,MIN(Financing!$B$10,G36))</f>
        <v>4000</v>
      </c>
      <c r="J36" s="69">
        <f>IF(OR(A36&lt;Inputs!$B$15,H36&lt;=0),0,H36*Inputs!$B$13/12)</f>
        <v>3328.414679</v>
      </c>
      <c r="K36" s="69">
        <f>IF(OR(A36&lt;Inputs!$B$15,H36&lt;=0),0,MIN(Financing!$C$10,H36+J36))</f>
        <v>16881.22078</v>
      </c>
      <c r="L36" s="69">
        <f t="shared" si="2"/>
        <v>20881.22078</v>
      </c>
      <c r="M36" s="69">
        <f t="shared" si="12"/>
        <v>81542.38574</v>
      </c>
      <c r="N36" s="69">
        <f>IF(AND(Inputs!$B$84=1,B36="OPEN",Y35=0),Inputs!$B$85*(1+Inputs!$B$88)^MAX(0,ROUNDUP(C36/12,0)-1),0)</f>
        <v>0</v>
      </c>
      <c r="O36" s="69">
        <f>IF(AND(Inputs!$B$84=1,B36="OPEN",Y35=0),Inputs!$B$86*(1+Inputs!$B$88)^MAX(0,ROUNDUP(C36/12,0)-1),0)</f>
        <v>0</v>
      </c>
      <c r="P36" s="69">
        <f>(N36+O36)*(1+Inputs!$B$66)</f>
        <v>0</v>
      </c>
      <c r="Q36" s="69">
        <f>D36-J36-IF(C36=0,0,Inputs!$B$18)-P36</f>
        <v>18022.40735</v>
      </c>
      <c r="R36" s="69">
        <f>MAX(0,Q36-M36)*Inputs!$B$17</f>
        <v>0</v>
      </c>
      <c r="S36" s="69">
        <f t="shared" si="3"/>
        <v>63519.97839</v>
      </c>
      <c r="T36" s="69">
        <f t="shared" si="4"/>
        <v>157282.6013</v>
      </c>
      <c r="U36" s="69">
        <f>IF(AND(Inputs!$B$79=1,B36="OPEN",A36&gt;=Inputs!$B$82,C36&gt;=Inputs!$B$91,MOD(C36-Inputs!$B$91,Inputs!$B$90)=0),MIN(MAX(0,T36-Inputs!$B$80)*Inputs!$B$81,MAX(0,H36+J36-K36)),0)</f>
        <v>0</v>
      </c>
      <c r="V36" s="69">
        <f>IF(AND(Inputs!$B$79=1,B36="OPEN",A36&gt;=Inputs!$B$82,C36&gt;=Inputs!$B$91,MOD(C36-Inputs!$B$91,Inputs!$B$90)=0),MIN(MAX(0,MAX(0,T36-Inputs!$B$80)*Inputs!$B$81-U36),MAX(0,G36-I36)),0)</f>
        <v>0</v>
      </c>
      <c r="W36" s="69">
        <f t="shared" si="5"/>
        <v>224000</v>
      </c>
      <c r="X36" s="69">
        <f t="shared" si="6"/>
        <v>827309.8496</v>
      </c>
      <c r="Y36" s="69">
        <f t="shared" si="7"/>
        <v>1051309.85</v>
      </c>
      <c r="Z36" s="69">
        <f t="shared" si="8"/>
        <v>157282.6013</v>
      </c>
    </row>
    <row r="37" ht="15.75" customHeight="1">
      <c r="A37" s="87">
        <f t="shared" si="9"/>
        <v>16</v>
      </c>
      <c r="B37" s="87" t="str">
        <f t="array" ref="B37">INDEX('Monthly Base'!$B$5:$B$67,A37+1)</f>
        <v>OPEN</v>
      </c>
      <c r="C37" s="87">
        <f t="array" ref="C37">INDEX('Monthly Base'!$C$5:$C$67,A37+1)</f>
        <v>14</v>
      </c>
      <c r="D37" s="69">
        <f t="array" ref="D37">INDEX('Monthly Base'!$O$5:$O$67,A37+1)</f>
        <v>30408.94068</v>
      </c>
      <c r="E37" s="69">
        <f t="array" ref="E37">INDEX('Monthly Base'!$Y$5:$Y$67,A37+1)</f>
        <v>0</v>
      </c>
      <c r="F37" s="69">
        <f t="shared" si="10"/>
        <v>157282.6013</v>
      </c>
      <c r="G37" s="69">
        <f t="shared" ref="G37:H37" si="26">W36</f>
        <v>224000</v>
      </c>
      <c r="H37" s="69">
        <f t="shared" si="26"/>
        <v>827309.8496</v>
      </c>
      <c r="I37" s="69">
        <f>IF(OR(A37&lt;Inputs!$B$15,G37&lt;=0),0,MIN(Financing!$B$10,G37))</f>
        <v>4000</v>
      </c>
      <c r="J37" s="69">
        <f>IF(OR(A37&lt;Inputs!$B$15,H37&lt;=0),0,H37*Inputs!$B$13/12)</f>
        <v>3274.768155</v>
      </c>
      <c r="K37" s="69">
        <f>IF(OR(A37&lt;Inputs!$B$15,H37&lt;=0),0,MIN(Financing!$C$10,H37+J37))</f>
        <v>16881.22078</v>
      </c>
      <c r="L37" s="69">
        <f t="shared" si="2"/>
        <v>20881.22078</v>
      </c>
      <c r="M37" s="69">
        <f t="shared" si="12"/>
        <v>63519.97839</v>
      </c>
      <c r="N37" s="69">
        <f>IF(AND(Inputs!$B$84=1,B37="OPEN",Y36=0),Inputs!$B$85*(1+Inputs!$B$88)^MAX(0,ROUNDUP(C37/12,0)-1),0)</f>
        <v>0</v>
      </c>
      <c r="O37" s="69">
        <f>IF(AND(Inputs!$B$84=1,B37="OPEN",Y36=0),Inputs!$B$86*(1+Inputs!$B$88)^MAX(0,ROUNDUP(C37/12,0)-1),0)</f>
        <v>0</v>
      </c>
      <c r="P37" s="69">
        <f>(N37+O37)*(1+Inputs!$B$66)</f>
        <v>0</v>
      </c>
      <c r="Q37" s="69">
        <f>D37-J37-IF(C37=0,0,Inputs!$B$18)-P37</f>
        <v>20321.17252</v>
      </c>
      <c r="R37" s="69">
        <f>MAX(0,Q37-M37)*Inputs!$B$17</f>
        <v>0</v>
      </c>
      <c r="S37" s="69">
        <f t="shared" si="3"/>
        <v>43198.80587</v>
      </c>
      <c r="T37" s="69">
        <f t="shared" si="4"/>
        <v>166810.3211</v>
      </c>
      <c r="U37" s="69">
        <f>IF(AND(Inputs!$B$79=1,B37="OPEN",A37&gt;=Inputs!$B$82,C37&gt;=Inputs!$B$91,MOD(C37-Inputs!$B$91,Inputs!$B$90)=0),MIN(MAX(0,T37-Inputs!$B$80)*Inputs!$B$81,MAX(0,H37+J37-K37)),0)</f>
        <v>0</v>
      </c>
      <c r="V37" s="69">
        <f>IF(AND(Inputs!$B$79=1,B37="OPEN",A37&gt;=Inputs!$B$82,C37&gt;=Inputs!$B$91,MOD(C37-Inputs!$B$91,Inputs!$B$90)=0),MIN(MAX(0,MAX(0,T37-Inputs!$B$80)*Inputs!$B$81-U37),MAX(0,G37-I37)),0)</f>
        <v>0</v>
      </c>
      <c r="W37" s="69">
        <f t="shared" si="5"/>
        <v>220000</v>
      </c>
      <c r="X37" s="69">
        <f t="shared" si="6"/>
        <v>813703.397</v>
      </c>
      <c r="Y37" s="69">
        <f t="shared" si="7"/>
        <v>1033703.397</v>
      </c>
      <c r="Z37" s="69">
        <f t="shared" si="8"/>
        <v>166810.3211</v>
      </c>
    </row>
    <row r="38" ht="15.75" customHeight="1">
      <c r="A38" s="87">
        <f t="shared" si="9"/>
        <v>17</v>
      </c>
      <c r="B38" s="87" t="str">
        <f t="array" ref="B38">INDEX('Monthly Base'!$B$5:$B$67,A38+1)</f>
        <v>OPEN</v>
      </c>
      <c r="C38" s="87">
        <f t="array" ref="C38">INDEX('Monthly Base'!$C$5:$C$67,A38+1)</f>
        <v>15</v>
      </c>
      <c r="D38" s="69">
        <f t="array" ref="D38">INDEX('Monthly Base'!$O$5:$O$67,A38+1)</f>
        <v>32841.15254</v>
      </c>
      <c r="E38" s="69">
        <f t="array" ref="E38">INDEX('Monthly Base'!$Y$5:$Y$67,A38+1)</f>
        <v>0</v>
      </c>
      <c r="F38" s="69">
        <f t="shared" si="10"/>
        <v>166810.3211</v>
      </c>
      <c r="G38" s="69">
        <f t="shared" ref="G38:H38" si="27">W37</f>
        <v>220000</v>
      </c>
      <c r="H38" s="69">
        <f t="shared" si="27"/>
        <v>813703.397</v>
      </c>
      <c r="I38" s="69">
        <f>IF(OR(A38&lt;Inputs!$B$15,G38&lt;=0),0,MIN(Financing!$B$10,G38))</f>
        <v>4000</v>
      </c>
      <c r="J38" s="69">
        <f>IF(OR(A38&lt;Inputs!$B$15,H38&lt;=0),0,H38*Inputs!$B$13/12)</f>
        <v>3220.90928</v>
      </c>
      <c r="K38" s="69">
        <f>IF(OR(A38&lt;Inputs!$B$15,H38&lt;=0),0,MIN(Financing!$C$10,H38+J38))</f>
        <v>16881.22078</v>
      </c>
      <c r="L38" s="69">
        <f t="shared" si="2"/>
        <v>20881.22078</v>
      </c>
      <c r="M38" s="69">
        <f t="shared" si="12"/>
        <v>43198.80587</v>
      </c>
      <c r="N38" s="69">
        <f>IF(AND(Inputs!$B$84=1,B38="OPEN",Y37=0),Inputs!$B$85*(1+Inputs!$B$88)^MAX(0,ROUNDUP(C38/12,0)-1),0)</f>
        <v>0</v>
      </c>
      <c r="O38" s="69">
        <f>IF(AND(Inputs!$B$84=1,B38="OPEN",Y37=0),Inputs!$B$86*(1+Inputs!$B$88)^MAX(0,ROUNDUP(C38/12,0)-1),0)</f>
        <v>0</v>
      </c>
      <c r="P38" s="69">
        <f>(N38+O38)*(1+Inputs!$B$66)</f>
        <v>0</v>
      </c>
      <c r="Q38" s="69">
        <f>D38-J38-IF(C38=0,0,Inputs!$B$18)-P38</f>
        <v>22807.24326</v>
      </c>
      <c r="R38" s="69">
        <f>MAX(0,Q38-M38)*Inputs!$B$17</f>
        <v>0</v>
      </c>
      <c r="S38" s="69">
        <f t="shared" si="3"/>
        <v>20391.5626</v>
      </c>
      <c r="T38" s="69">
        <f t="shared" si="4"/>
        <v>178770.2529</v>
      </c>
      <c r="U38" s="69">
        <f>IF(AND(Inputs!$B$79=1,B38="OPEN",A38&gt;=Inputs!$B$82,C38&gt;=Inputs!$B$91,MOD(C38-Inputs!$B$91,Inputs!$B$90)=0),MIN(MAX(0,T38-Inputs!$B$80)*Inputs!$B$81,MAX(0,H38+J38-K38)),0)</f>
        <v>0</v>
      </c>
      <c r="V38" s="69">
        <f>IF(AND(Inputs!$B$79=1,B38="OPEN",A38&gt;=Inputs!$B$82,C38&gt;=Inputs!$B$91,MOD(C38-Inputs!$B$91,Inputs!$B$90)=0),MIN(MAX(0,MAX(0,T38-Inputs!$B$80)*Inputs!$B$81-U38),MAX(0,G38-I38)),0)</f>
        <v>0</v>
      </c>
      <c r="W38" s="69">
        <f t="shared" si="5"/>
        <v>216000</v>
      </c>
      <c r="X38" s="69">
        <f t="shared" si="6"/>
        <v>800043.0855</v>
      </c>
      <c r="Y38" s="69">
        <f t="shared" si="7"/>
        <v>1016043.086</v>
      </c>
      <c r="Z38" s="69">
        <f t="shared" si="8"/>
        <v>178770.2529</v>
      </c>
    </row>
    <row r="39" ht="15.75" customHeight="1">
      <c r="A39" s="87">
        <f t="shared" si="9"/>
        <v>18</v>
      </c>
      <c r="B39" s="87" t="str">
        <f t="array" ref="B39">INDEX('Monthly Base'!$B$5:$B$67,A39+1)</f>
        <v>OPEN</v>
      </c>
      <c r="C39" s="87">
        <f t="array" ref="C39">INDEX('Monthly Base'!$C$5:$C$67,A39+1)</f>
        <v>16</v>
      </c>
      <c r="D39" s="69">
        <f t="array" ref="D39">INDEX('Monthly Base'!$O$5:$O$67,A39+1)</f>
        <v>35086.27119</v>
      </c>
      <c r="E39" s="69">
        <f t="array" ref="E39">INDEX('Monthly Base'!$Y$5:$Y$67,A39+1)</f>
        <v>0</v>
      </c>
      <c r="F39" s="69">
        <f t="shared" si="10"/>
        <v>178770.2529</v>
      </c>
      <c r="G39" s="69">
        <f t="shared" ref="G39:H39" si="28">W38</f>
        <v>216000</v>
      </c>
      <c r="H39" s="69">
        <f t="shared" si="28"/>
        <v>800043.0855</v>
      </c>
      <c r="I39" s="69">
        <f>IF(OR(A39&lt;Inputs!$B$15,G39&lt;=0),0,MIN(Financing!$B$10,G39))</f>
        <v>4000</v>
      </c>
      <c r="J39" s="69">
        <f>IF(OR(A39&lt;Inputs!$B$15,H39&lt;=0),0,H39*Inputs!$B$13/12)</f>
        <v>3166.837213</v>
      </c>
      <c r="K39" s="69">
        <f>IF(OR(A39&lt;Inputs!$B$15,H39&lt;=0),0,MIN(Financing!$C$10,H39+J39))</f>
        <v>16881.22078</v>
      </c>
      <c r="L39" s="69">
        <f t="shared" si="2"/>
        <v>20881.22078</v>
      </c>
      <c r="M39" s="69">
        <f t="shared" si="12"/>
        <v>20391.5626</v>
      </c>
      <c r="N39" s="69">
        <f>IF(AND(Inputs!$B$84=1,B39="OPEN",Y38=0),Inputs!$B$85*(1+Inputs!$B$88)^MAX(0,ROUNDUP(C39/12,0)-1),0)</f>
        <v>0</v>
      </c>
      <c r="O39" s="69">
        <f>IF(AND(Inputs!$B$84=1,B39="OPEN",Y38=0),Inputs!$B$86*(1+Inputs!$B$88)^MAX(0,ROUNDUP(C39/12,0)-1),0)</f>
        <v>0</v>
      </c>
      <c r="P39" s="69">
        <f>(N39+O39)*(1+Inputs!$B$66)</f>
        <v>0</v>
      </c>
      <c r="Q39" s="69">
        <f>D39-J39-IF(C39=0,0,Inputs!$B$18)-P39</f>
        <v>25106.43397</v>
      </c>
      <c r="R39" s="69">
        <f>MAX(0,Q39-M39)*Inputs!$B$17</f>
        <v>1084.420415</v>
      </c>
      <c r="S39" s="69">
        <f t="shared" si="3"/>
        <v>0</v>
      </c>
      <c r="T39" s="69">
        <f t="shared" si="4"/>
        <v>191890.8829</v>
      </c>
      <c r="U39" s="69">
        <f>IF(AND(Inputs!$B$79=1,B39="OPEN",A39&gt;=Inputs!$B$82,C39&gt;=Inputs!$B$91,MOD(C39-Inputs!$B$91,Inputs!$B$90)=0),MIN(MAX(0,T39-Inputs!$B$80)*Inputs!$B$81,MAX(0,H39+J39-K39)),0)</f>
        <v>0</v>
      </c>
      <c r="V39" s="69">
        <f>IF(AND(Inputs!$B$79=1,B39="OPEN",A39&gt;=Inputs!$B$82,C39&gt;=Inputs!$B$91,MOD(C39-Inputs!$B$91,Inputs!$B$90)=0),MIN(MAX(0,MAX(0,T39-Inputs!$B$80)*Inputs!$B$81-U39),MAX(0,G39-I39)),0)</f>
        <v>0</v>
      </c>
      <c r="W39" s="69">
        <f t="shared" si="5"/>
        <v>212000</v>
      </c>
      <c r="X39" s="69">
        <f t="shared" si="6"/>
        <v>786328.7019</v>
      </c>
      <c r="Y39" s="69">
        <f t="shared" si="7"/>
        <v>998328.7019</v>
      </c>
      <c r="Z39" s="69">
        <f t="shared" si="8"/>
        <v>191890.8829</v>
      </c>
    </row>
    <row r="40" ht="15.75" customHeight="1">
      <c r="A40" s="87">
        <f t="shared" si="9"/>
        <v>19</v>
      </c>
      <c r="B40" s="87" t="str">
        <f t="array" ref="B40">INDEX('Monthly Base'!$B$5:$B$67,A40+1)</f>
        <v>OPEN</v>
      </c>
      <c r="C40" s="87">
        <f t="array" ref="C40">INDEX('Monthly Base'!$C$5:$C$67,A40+1)</f>
        <v>17</v>
      </c>
      <c r="D40" s="69">
        <f t="array" ref="D40">INDEX('Monthly Base'!$O$5:$O$67,A40+1)</f>
        <v>37518.48305</v>
      </c>
      <c r="E40" s="69">
        <f t="array" ref="E40">INDEX('Monthly Base'!$Y$5:$Y$67,A40+1)</f>
        <v>0</v>
      </c>
      <c r="F40" s="69">
        <f t="shared" si="10"/>
        <v>191890.8829</v>
      </c>
      <c r="G40" s="69">
        <f t="shared" ref="G40:H40" si="29">W39</f>
        <v>212000</v>
      </c>
      <c r="H40" s="69">
        <f t="shared" si="29"/>
        <v>786328.7019</v>
      </c>
      <c r="I40" s="69">
        <f>IF(OR(A40&lt;Inputs!$B$15,G40&lt;=0),0,MIN(Financing!$B$10,G40))</f>
        <v>4000</v>
      </c>
      <c r="J40" s="69">
        <f>IF(OR(A40&lt;Inputs!$B$15,H40&lt;=0),0,H40*Inputs!$B$13/12)</f>
        <v>3112.551112</v>
      </c>
      <c r="K40" s="69">
        <f>IF(OR(A40&lt;Inputs!$B$15,H40&lt;=0),0,MIN(Financing!$C$10,H40+J40))</f>
        <v>16881.22078</v>
      </c>
      <c r="L40" s="69">
        <f t="shared" si="2"/>
        <v>20881.22078</v>
      </c>
      <c r="M40" s="69">
        <f t="shared" si="12"/>
        <v>0</v>
      </c>
      <c r="N40" s="69">
        <f>IF(AND(Inputs!$B$84=1,B40="OPEN",Y39=0),Inputs!$B$85*(1+Inputs!$B$88)^MAX(0,ROUNDUP(C40/12,0)-1),0)</f>
        <v>0</v>
      </c>
      <c r="O40" s="69">
        <f>IF(AND(Inputs!$B$84=1,B40="OPEN",Y39=0),Inputs!$B$86*(1+Inputs!$B$88)^MAX(0,ROUNDUP(C40/12,0)-1),0)</f>
        <v>0</v>
      </c>
      <c r="P40" s="69">
        <f>(N40+O40)*(1+Inputs!$B$66)</f>
        <v>0</v>
      </c>
      <c r="Q40" s="69">
        <f>D40-J40-IF(C40=0,0,Inputs!$B$18)-P40</f>
        <v>27592.93194</v>
      </c>
      <c r="R40" s="69">
        <f>MAX(0,Q40-M40)*Inputs!$B$17</f>
        <v>6346.374346</v>
      </c>
      <c r="S40" s="69">
        <f t="shared" si="3"/>
        <v>0</v>
      </c>
      <c r="T40" s="69">
        <f t="shared" si="4"/>
        <v>202181.7708</v>
      </c>
      <c r="U40" s="69">
        <f>IF(AND(Inputs!$B$79=1,B40="OPEN",A40&gt;=Inputs!$B$82,C40&gt;=Inputs!$B$91,MOD(C40-Inputs!$B$91,Inputs!$B$90)=0),MIN(MAX(0,T40-Inputs!$B$80)*Inputs!$B$81,MAX(0,H40+J40-K40)),0)</f>
        <v>0</v>
      </c>
      <c r="V40" s="69">
        <f>IF(AND(Inputs!$B$79=1,B40="OPEN",A40&gt;=Inputs!$B$82,C40&gt;=Inputs!$B$91,MOD(C40-Inputs!$B$91,Inputs!$B$90)=0),MIN(MAX(0,MAX(0,T40-Inputs!$B$80)*Inputs!$B$81-U40),MAX(0,G40-I40)),0)</f>
        <v>0</v>
      </c>
      <c r="W40" s="69">
        <f t="shared" si="5"/>
        <v>208000</v>
      </c>
      <c r="X40" s="69">
        <f t="shared" si="6"/>
        <v>772560.0323</v>
      </c>
      <c r="Y40" s="69">
        <f t="shared" si="7"/>
        <v>980560.0323</v>
      </c>
      <c r="Z40" s="69">
        <f t="shared" si="8"/>
        <v>202181.7708</v>
      </c>
    </row>
    <row r="41" ht="15.75" customHeight="1">
      <c r="A41" s="87">
        <f t="shared" si="9"/>
        <v>20</v>
      </c>
      <c r="B41" s="87" t="str">
        <f t="array" ref="B41">INDEX('Monthly Base'!$B$5:$B$67,A41+1)</f>
        <v>OPEN</v>
      </c>
      <c r="C41" s="87">
        <f t="array" ref="C41">INDEX('Monthly Base'!$C$5:$C$67,A41+1)</f>
        <v>18</v>
      </c>
      <c r="D41" s="69">
        <f t="array" ref="D41">INDEX('Monthly Base'!$O$5:$O$67,A41+1)</f>
        <v>39763.60169</v>
      </c>
      <c r="E41" s="69">
        <f t="array" ref="E41">INDEX('Monthly Base'!$Y$5:$Y$67,A41+1)</f>
        <v>0</v>
      </c>
      <c r="F41" s="69">
        <f t="shared" si="10"/>
        <v>202181.7708</v>
      </c>
      <c r="G41" s="69">
        <f t="shared" ref="G41:H41" si="30">W40</f>
        <v>208000</v>
      </c>
      <c r="H41" s="69">
        <f t="shared" si="30"/>
        <v>772560.0323</v>
      </c>
      <c r="I41" s="69">
        <f>IF(OR(A41&lt;Inputs!$B$15,G41&lt;=0),0,MIN(Financing!$B$10,G41))</f>
        <v>4000</v>
      </c>
      <c r="J41" s="69">
        <f>IF(OR(A41&lt;Inputs!$B$15,H41&lt;=0),0,H41*Inputs!$B$13/12)</f>
        <v>3058.050128</v>
      </c>
      <c r="K41" s="69">
        <f>IF(OR(A41&lt;Inputs!$B$15,H41&lt;=0),0,MIN(Financing!$C$10,H41+J41))</f>
        <v>16881.22078</v>
      </c>
      <c r="L41" s="69">
        <f t="shared" si="2"/>
        <v>20881.22078</v>
      </c>
      <c r="M41" s="69">
        <f t="shared" si="12"/>
        <v>0</v>
      </c>
      <c r="N41" s="69">
        <f>IF(AND(Inputs!$B$84=1,B41="OPEN",Y40=0),Inputs!$B$85*(1+Inputs!$B$88)^MAX(0,ROUNDUP(C41/12,0)-1),0)</f>
        <v>0</v>
      </c>
      <c r="O41" s="69">
        <f>IF(AND(Inputs!$B$84=1,B41="OPEN",Y40=0),Inputs!$B$86*(1+Inputs!$B$88)^MAX(0,ROUNDUP(C41/12,0)-1),0)</f>
        <v>0</v>
      </c>
      <c r="P41" s="69">
        <f>(N41+O41)*(1+Inputs!$B$66)</f>
        <v>0</v>
      </c>
      <c r="Q41" s="69">
        <f>D41-J41-IF(C41=0,0,Inputs!$B$18)-P41</f>
        <v>29892.55157</v>
      </c>
      <c r="R41" s="69">
        <f>MAX(0,Q41-M41)*Inputs!$B$17</f>
        <v>6875.28686</v>
      </c>
      <c r="S41" s="69">
        <f t="shared" si="3"/>
        <v>0</v>
      </c>
      <c r="T41" s="69">
        <f t="shared" si="4"/>
        <v>214188.8649</v>
      </c>
      <c r="U41" s="69">
        <f>IF(AND(Inputs!$B$79=1,B41="OPEN",A41&gt;=Inputs!$B$82,C41&gt;=Inputs!$B$91,MOD(C41-Inputs!$B$91,Inputs!$B$90)=0),MIN(MAX(0,T41-Inputs!$B$80)*Inputs!$B$81,MAX(0,H41+J41-K41)),0)</f>
        <v>64188.86488</v>
      </c>
      <c r="V41" s="69">
        <f>IF(AND(Inputs!$B$79=1,B41="OPEN",A41&gt;=Inputs!$B$82,C41&gt;=Inputs!$B$91,MOD(C41-Inputs!$B$91,Inputs!$B$90)=0),MIN(MAX(0,MAX(0,T41-Inputs!$B$80)*Inputs!$B$81-U41),MAX(0,G41-I41)),0)</f>
        <v>0</v>
      </c>
      <c r="W41" s="69">
        <f t="shared" si="5"/>
        <v>204000</v>
      </c>
      <c r="X41" s="69">
        <f t="shared" si="6"/>
        <v>694547.9967</v>
      </c>
      <c r="Y41" s="69">
        <f t="shared" si="7"/>
        <v>898547.9967</v>
      </c>
      <c r="Z41" s="69">
        <f t="shared" si="8"/>
        <v>150000</v>
      </c>
    </row>
    <row r="42" ht="15.75" customHeight="1">
      <c r="A42" s="87">
        <f t="shared" si="9"/>
        <v>21</v>
      </c>
      <c r="B42" s="87" t="str">
        <f t="array" ref="B42">INDEX('Monthly Base'!$B$5:$B$67,A42+1)</f>
        <v>OPEN</v>
      </c>
      <c r="C42" s="87">
        <f t="array" ref="C42">INDEX('Monthly Base'!$C$5:$C$67,A42+1)</f>
        <v>19</v>
      </c>
      <c r="D42" s="69">
        <f t="array" ref="D42">INDEX('Monthly Base'!$O$5:$O$67,A42+1)</f>
        <v>42195.81356</v>
      </c>
      <c r="E42" s="69">
        <f t="array" ref="E42">INDEX('Monthly Base'!$Y$5:$Y$67,A42+1)</f>
        <v>0</v>
      </c>
      <c r="F42" s="69">
        <f t="shared" si="10"/>
        <v>150000</v>
      </c>
      <c r="G42" s="69">
        <f t="shared" ref="G42:H42" si="31">W41</f>
        <v>204000</v>
      </c>
      <c r="H42" s="69">
        <f t="shared" si="31"/>
        <v>694547.9967</v>
      </c>
      <c r="I42" s="69">
        <f>IF(OR(A42&lt;Inputs!$B$15,G42&lt;=0),0,MIN(Financing!$B$10,G42))</f>
        <v>4000</v>
      </c>
      <c r="J42" s="69">
        <f>IF(OR(A42&lt;Inputs!$B$15,H42&lt;=0),0,H42*Inputs!$B$13/12)</f>
        <v>2749.252487</v>
      </c>
      <c r="K42" s="69">
        <f>IF(OR(A42&lt;Inputs!$B$15,H42&lt;=0),0,MIN(Financing!$C$10,H42+J42))</f>
        <v>16881.22078</v>
      </c>
      <c r="L42" s="69">
        <f t="shared" si="2"/>
        <v>20881.22078</v>
      </c>
      <c r="M42" s="69">
        <f t="shared" si="12"/>
        <v>0</v>
      </c>
      <c r="N42" s="69">
        <f>IF(AND(Inputs!$B$84=1,B42="OPEN",Y41=0),Inputs!$B$85*(1+Inputs!$B$88)^MAX(0,ROUNDUP(C42/12,0)-1),0)</f>
        <v>0</v>
      </c>
      <c r="O42" s="69">
        <f>IF(AND(Inputs!$B$84=1,B42="OPEN",Y41=0),Inputs!$B$86*(1+Inputs!$B$88)^MAX(0,ROUNDUP(C42/12,0)-1),0)</f>
        <v>0</v>
      </c>
      <c r="P42" s="69">
        <f>(N42+O42)*(1+Inputs!$B$66)</f>
        <v>0</v>
      </c>
      <c r="Q42" s="69">
        <f>D42-J42-IF(C42=0,0,Inputs!$B$18)-P42</f>
        <v>32633.56107</v>
      </c>
      <c r="R42" s="69">
        <f>MAX(0,Q42-M42)*Inputs!$B$17</f>
        <v>7505.719047</v>
      </c>
      <c r="S42" s="69">
        <f t="shared" si="3"/>
        <v>0</v>
      </c>
      <c r="T42" s="69">
        <f t="shared" si="4"/>
        <v>163808.8737</v>
      </c>
      <c r="U42" s="69">
        <f>IF(AND(Inputs!$B$79=1,B42="OPEN",A42&gt;=Inputs!$B$82,C42&gt;=Inputs!$B$91,MOD(C42-Inputs!$B$91,Inputs!$B$90)=0),MIN(MAX(0,T42-Inputs!$B$80)*Inputs!$B$81,MAX(0,H42+J42-K42)),0)</f>
        <v>0</v>
      </c>
      <c r="V42" s="69">
        <f>IF(AND(Inputs!$B$79=1,B42="OPEN",A42&gt;=Inputs!$B$82,C42&gt;=Inputs!$B$91,MOD(C42-Inputs!$B$91,Inputs!$B$90)=0),MIN(MAX(0,MAX(0,T42-Inputs!$B$80)*Inputs!$B$81-U42),MAX(0,G42-I42)),0)</f>
        <v>0</v>
      </c>
      <c r="W42" s="69">
        <f t="shared" si="5"/>
        <v>200000</v>
      </c>
      <c r="X42" s="69">
        <f t="shared" si="6"/>
        <v>680416.0285</v>
      </c>
      <c r="Y42" s="69">
        <f t="shared" si="7"/>
        <v>880416.0285</v>
      </c>
      <c r="Z42" s="69">
        <f t="shared" si="8"/>
        <v>163808.8737</v>
      </c>
    </row>
    <row r="43" ht="15.75" customHeight="1">
      <c r="A43" s="87">
        <f t="shared" si="9"/>
        <v>22</v>
      </c>
      <c r="B43" s="87" t="str">
        <f t="array" ref="B43">INDEX('Monthly Base'!$B$5:$B$67,A43+1)</f>
        <v>OPEN</v>
      </c>
      <c r="C43" s="87">
        <f t="array" ref="C43">INDEX('Monthly Base'!$C$5:$C$67,A43+1)</f>
        <v>20</v>
      </c>
      <c r="D43" s="69">
        <f t="array" ref="D43">INDEX('Monthly Base'!$O$5:$O$67,A43+1)</f>
        <v>44440.9322</v>
      </c>
      <c r="E43" s="69">
        <f t="array" ref="E43">INDEX('Monthly Base'!$Y$5:$Y$67,A43+1)</f>
        <v>0</v>
      </c>
      <c r="F43" s="69">
        <f t="shared" si="10"/>
        <v>163808.8737</v>
      </c>
      <c r="G43" s="69">
        <f t="shared" ref="G43:H43" si="32">W42</f>
        <v>200000</v>
      </c>
      <c r="H43" s="69">
        <f t="shared" si="32"/>
        <v>680416.0285</v>
      </c>
      <c r="I43" s="69">
        <f>IF(OR(A43&lt;Inputs!$B$15,G43&lt;=0),0,MIN(Financing!$B$10,G43))</f>
        <v>4000</v>
      </c>
      <c r="J43" s="69">
        <f>IF(OR(A43&lt;Inputs!$B$15,H43&lt;=0),0,H43*Inputs!$B$13/12)</f>
        <v>2693.313446</v>
      </c>
      <c r="K43" s="69">
        <f>IF(OR(A43&lt;Inputs!$B$15,H43&lt;=0),0,MIN(Financing!$C$10,H43+J43))</f>
        <v>16881.22078</v>
      </c>
      <c r="L43" s="69">
        <f t="shared" si="2"/>
        <v>20881.22078</v>
      </c>
      <c r="M43" s="69">
        <f t="shared" si="12"/>
        <v>0</v>
      </c>
      <c r="N43" s="69">
        <f>IF(AND(Inputs!$B$84=1,B43="OPEN",Y42=0),Inputs!$B$85*(1+Inputs!$B$88)^MAX(0,ROUNDUP(C43/12,0)-1),0)</f>
        <v>0</v>
      </c>
      <c r="O43" s="69">
        <f>IF(AND(Inputs!$B$84=1,B43="OPEN",Y42=0),Inputs!$B$86*(1+Inputs!$B$88)^MAX(0,ROUNDUP(C43/12,0)-1),0)</f>
        <v>0</v>
      </c>
      <c r="P43" s="69">
        <f>(N43+O43)*(1+Inputs!$B$66)</f>
        <v>0</v>
      </c>
      <c r="Q43" s="69">
        <f>D43-J43-IF(C43=0,0,Inputs!$B$18)-P43</f>
        <v>34934.61876</v>
      </c>
      <c r="R43" s="69">
        <f>MAX(0,Q43-M43)*Inputs!$B$17</f>
        <v>8034.962314</v>
      </c>
      <c r="S43" s="69">
        <f t="shared" si="3"/>
        <v>0</v>
      </c>
      <c r="T43" s="69">
        <f t="shared" si="4"/>
        <v>179333.6228</v>
      </c>
      <c r="U43" s="69">
        <f>IF(AND(Inputs!$B$79=1,B43="OPEN",A43&gt;=Inputs!$B$82,C43&gt;=Inputs!$B$91,MOD(C43-Inputs!$B$91,Inputs!$B$90)=0),MIN(MAX(0,T43-Inputs!$B$80)*Inputs!$B$81,MAX(0,H43+J43-K43)),0)</f>
        <v>0</v>
      </c>
      <c r="V43" s="69">
        <f>IF(AND(Inputs!$B$79=1,B43="OPEN",A43&gt;=Inputs!$B$82,C43&gt;=Inputs!$B$91,MOD(C43-Inputs!$B$91,Inputs!$B$90)=0),MIN(MAX(0,MAX(0,T43-Inputs!$B$80)*Inputs!$B$81-U43),MAX(0,G43-I43)),0)</f>
        <v>0</v>
      </c>
      <c r="W43" s="69">
        <f t="shared" si="5"/>
        <v>196000</v>
      </c>
      <c r="X43" s="69">
        <f t="shared" si="6"/>
        <v>666228.1211</v>
      </c>
      <c r="Y43" s="69">
        <f t="shared" si="7"/>
        <v>862228.1211</v>
      </c>
      <c r="Z43" s="69">
        <f t="shared" si="8"/>
        <v>179333.6228</v>
      </c>
    </row>
    <row r="44" ht="15.75" customHeight="1">
      <c r="A44" s="87">
        <f t="shared" si="9"/>
        <v>23</v>
      </c>
      <c r="B44" s="87" t="str">
        <f t="array" ref="B44">INDEX('Monthly Base'!$B$5:$B$67,A44+1)</f>
        <v>OPEN</v>
      </c>
      <c r="C44" s="87">
        <f t="array" ref="C44">INDEX('Monthly Base'!$C$5:$C$67,A44+1)</f>
        <v>21</v>
      </c>
      <c r="D44" s="69">
        <f t="array" ref="D44">INDEX('Monthly Base'!$O$5:$O$67,A44+1)</f>
        <v>46873.14407</v>
      </c>
      <c r="E44" s="69">
        <f t="array" ref="E44">INDEX('Monthly Base'!$Y$5:$Y$67,A44+1)</f>
        <v>0</v>
      </c>
      <c r="F44" s="69">
        <f t="shared" si="10"/>
        <v>179333.6228</v>
      </c>
      <c r="G44" s="69">
        <f t="shared" ref="G44:H44" si="33">W43</f>
        <v>196000</v>
      </c>
      <c r="H44" s="69">
        <f t="shared" si="33"/>
        <v>666228.1211</v>
      </c>
      <c r="I44" s="69">
        <f>IF(OR(A44&lt;Inputs!$B$15,G44&lt;=0),0,MIN(Financing!$B$10,G44))</f>
        <v>4000</v>
      </c>
      <c r="J44" s="69">
        <f>IF(OR(A44&lt;Inputs!$B$15,H44&lt;=0),0,H44*Inputs!$B$13/12)</f>
        <v>2637.152979</v>
      </c>
      <c r="K44" s="69">
        <f>IF(OR(A44&lt;Inputs!$B$15,H44&lt;=0),0,MIN(Financing!$C$10,H44+J44))</f>
        <v>16881.22078</v>
      </c>
      <c r="L44" s="69">
        <f t="shared" si="2"/>
        <v>20881.22078</v>
      </c>
      <c r="M44" s="69">
        <f t="shared" si="12"/>
        <v>0</v>
      </c>
      <c r="N44" s="69">
        <f>IF(AND(Inputs!$B$84=1,B44="OPEN",Y43=0),Inputs!$B$85*(1+Inputs!$B$88)^MAX(0,ROUNDUP(C44/12,0)-1),0)</f>
        <v>0</v>
      </c>
      <c r="O44" s="69">
        <f>IF(AND(Inputs!$B$84=1,B44="OPEN",Y43=0),Inputs!$B$86*(1+Inputs!$B$88)^MAX(0,ROUNDUP(C44/12,0)-1),0)</f>
        <v>0</v>
      </c>
      <c r="P44" s="69">
        <f>(N44+O44)*(1+Inputs!$B$66)</f>
        <v>0</v>
      </c>
      <c r="Q44" s="69">
        <f>D44-J44-IF(C44=0,0,Inputs!$B$18)-P44</f>
        <v>37422.99109</v>
      </c>
      <c r="R44" s="69">
        <f>MAX(0,Q44-M44)*Inputs!$B$17</f>
        <v>8607.28795</v>
      </c>
      <c r="S44" s="69">
        <f t="shared" si="3"/>
        <v>0</v>
      </c>
      <c r="T44" s="69">
        <f t="shared" si="4"/>
        <v>196718.2582</v>
      </c>
      <c r="U44" s="69">
        <f>IF(AND(Inputs!$B$79=1,B44="OPEN",A44&gt;=Inputs!$B$82,C44&gt;=Inputs!$B$91,MOD(C44-Inputs!$B$91,Inputs!$B$90)=0),MIN(MAX(0,T44-Inputs!$B$80)*Inputs!$B$81,MAX(0,H44+J44-K44)),0)</f>
        <v>0</v>
      </c>
      <c r="V44" s="69">
        <f>IF(AND(Inputs!$B$79=1,B44="OPEN",A44&gt;=Inputs!$B$82,C44&gt;=Inputs!$B$91,MOD(C44-Inputs!$B$91,Inputs!$B$90)=0),MIN(MAX(0,MAX(0,T44-Inputs!$B$80)*Inputs!$B$81-U44),MAX(0,G44-I44)),0)</f>
        <v>0</v>
      </c>
      <c r="W44" s="69">
        <f t="shared" si="5"/>
        <v>192000</v>
      </c>
      <c r="X44" s="69">
        <f t="shared" si="6"/>
        <v>651984.0533</v>
      </c>
      <c r="Y44" s="69">
        <f t="shared" si="7"/>
        <v>843984.0533</v>
      </c>
      <c r="Z44" s="69">
        <f t="shared" si="8"/>
        <v>196718.2582</v>
      </c>
    </row>
    <row r="45" ht="15.75" customHeight="1">
      <c r="A45" s="87">
        <f t="shared" si="9"/>
        <v>24</v>
      </c>
      <c r="B45" s="87" t="str">
        <f t="array" ref="B45">INDEX('Monthly Base'!$B$5:$B$67,A45+1)</f>
        <v>OPEN</v>
      </c>
      <c r="C45" s="87">
        <f t="array" ref="C45">INDEX('Monthly Base'!$C$5:$C$67,A45+1)</f>
        <v>22</v>
      </c>
      <c r="D45" s="69">
        <f t="array" ref="D45">INDEX('Monthly Base'!$O$5:$O$67,A45+1)</f>
        <v>49118.26271</v>
      </c>
      <c r="E45" s="69">
        <f t="array" ref="E45">INDEX('Monthly Base'!$Y$5:$Y$67,A45+1)</f>
        <v>0</v>
      </c>
      <c r="F45" s="69">
        <f t="shared" si="10"/>
        <v>196718.2582</v>
      </c>
      <c r="G45" s="69">
        <f t="shared" ref="G45:H45" si="34">W44</f>
        <v>192000</v>
      </c>
      <c r="H45" s="69">
        <f t="shared" si="34"/>
        <v>651984.0533</v>
      </c>
      <c r="I45" s="69">
        <f>IF(OR(A45&lt;Inputs!$B$15,G45&lt;=0),0,MIN(Financing!$B$10,G45))</f>
        <v>4000</v>
      </c>
      <c r="J45" s="69">
        <f>IF(OR(A45&lt;Inputs!$B$15,H45&lt;=0),0,H45*Inputs!$B$13/12)</f>
        <v>2580.770211</v>
      </c>
      <c r="K45" s="69">
        <f>IF(OR(A45&lt;Inputs!$B$15,H45&lt;=0),0,MIN(Financing!$C$10,H45+J45))</f>
        <v>16881.22078</v>
      </c>
      <c r="L45" s="69">
        <f t="shared" si="2"/>
        <v>20881.22078</v>
      </c>
      <c r="M45" s="69">
        <f t="shared" si="12"/>
        <v>0</v>
      </c>
      <c r="N45" s="69">
        <f>IF(AND(Inputs!$B$84=1,B45="OPEN",Y44=0),Inputs!$B$85*(1+Inputs!$B$88)^MAX(0,ROUNDUP(C45/12,0)-1),0)</f>
        <v>0</v>
      </c>
      <c r="O45" s="69">
        <f>IF(AND(Inputs!$B$84=1,B45="OPEN",Y44=0),Inputs!$B$86*(1+Inputs!$B$88)^MAX(0,ROUNDUP(C45/12,0)-1),0)</f>
        <v>0</v>
      </c>
      <c r="P45" s="69">
        <f>(N45+O45)*(1+Inputs!$B$66)</f>
        <v>0</v>
      </c>
      <c r="Q45" s="69">
        <f>D45-J45-IF(C45=0,0,Inputs!$B$18)-P45</f>
        <v>39724.4925</v>
      </c>
      <c r="R45" s="69">
        <f>MAX(0,Q45-M45)*Inputs!$B$17</f>
        <v>9136.633275</v>
      </c>
      <c r="S45" s="69">
        <f t="shared" si="3"/>
        <v>0</v>
      </c>
      <c r="T45" s="69">
        <f t="shared" si="4"/>
        <v>215818.6668</v>
      </c>
      <c r="U45" s="69">
        <f>IF(AND(Inputs!$B$79=1,B45="OPEN",A45&gt;=Inputs!$B$82,C45&gt;=Inputs!$B$91,MOD(C45-Inputs!$B$91,Inputs!$B$90)=0),MIN(MAX(0,T45-Inputs!$B$80)*Inputs!$B$81,MAX(0,H45+J45-K45)),0)</f>
        <v>0</v>
      </c>
      <c r="V45" s="69">
        <f>IF(AND(Inputs!$B$79=1,B45="OPEN",A45&gt;=Inputs!$B$82,C45&gt;=Inputs!$B$91,MOD(C45-Inputs!$B$91,Inputs!$B$90)=0),MIN(MAX(0,MAX(0,T45-Inputs!$B$80)*Inputs!$B$81-U45),MAX(0,G45-I45)),0)</f>
        <v>0</v>
      </c>
      <c r="W45" s="69">
        <f t="shared" si="5"/>
        <v>188000</v>
      </c>
      <c r="X45" s="69">
        <f t="shared" si="6"/>
        <v>637683.6027</v>
      </c>
      <c r="Y45" s="69">
        <f t="shared" si="7"/>
        <v>825683.6027</v>
      </c>
      <c r="Z45" s="69">
        <f t="shared" si="8"/>
        <v>215818.6668</v>
      </c>
    </row>
    <row r="46" ht="15.75" customHeight="1">
      <c r="A46" s="87">
        <f t="shared" si="9"/>
        <v>25</v>
      </c>
      <c r="B46" s="87" t="str">
        <f t="array" ref="B46">INDEX('Monthly Base'!$B$5:$B$67,A46+1)</f>
        <v>OPEN</v>
      </c>
      <c r="C46" s="87">
        <f t="array" ref="C46">INDEX('Monthly Base'!$C$5:$C$67,A46+1)</f>
        <v>23</v>
      </c>
      <c r="D46" s="69">
        <f t="array" ref="D46">INDEX('Monthly Base'!$O$5:$O$67,A46+1)</f>
        <v>51550.47458</v>
      </c>
      <c r="E46" s="69">
        <f t="array" ref="E46">INDEX('Monthly Base'!$Y$5:$Y$67,A46+1)</f>
        <v>0</v>
      </c>
      <c r="F46" s="69">
        <f t="shared" si="10"/>
        <v>215818.6668</v>
      </c>
      <c r="G46" s="69">
        <f t="shared" ref="G46:H46" si="35">W45</f>
        <v>188000</v>
      </c>
      <c r="H46" s="69">
        <f t="shared" si="35"/>
        <v>637683.6027</v>
      </c>
      <c r="I46" s="69">
        <f>IF(OR(A46&lt;Inputs!$B$15,G46&lt;=0),0,MIN(Financing!$B$10,G46))</f>
        <v>4000</v>
      </c>
      <c r="J46" s="69">
        <f>IF(OR(A46&lt;Inputs!$B$15,H46&lt;=0),0,H46*Inputs!$B$13/12)</f>
        <v>2524.164261</v>
      </c>
      <c r="K46" s="69">
        <f>IF(OR(A46&lt;Inputs!$B$15,H46&lt;=0),0,MIN(Financing!$C$10,H46+J46))</f>
        <v>16881.22078</v>
      </c>
      <c r="L46" s="69">
        <f t="shared" si="2"/>
        <v>20881.22078</v>
      </c>
      <c r="M46" s="69">
        <f t="shared" si="12"/>
        <v>0</v>
      </c>
      <c r="N46" s="69">
        <f>IF(AND(Inputs!$B$84=1,B46="OPEN",Y45=0),Inputs!$B$85*(1+Inputs!$B$88)^MAX(0,ROUNDUP(C46/12,0)-1),0)</f>
        <v>0</v>
      </c>
      <c r="O46" s="69">
        <f>IF(AND(Inputs!$B$84=1,B46="OPEN",Y45=0),Inputs!$B$86*(1+Inputs!$B$88)^MAX(0,ROUNDUP(C46/12,0)-1),0)</f>
        <v>0</v>
      </c>
      <c r="P46" s="69">
        <f>(N46+O46)*(1+Inputs!$B$66)</f>
        <v>0</v>
      </c>
      <c r="Q46" s="69">
        <f>D46-J46-IF(C46=0,0,Inputs!$B$18)-P46</f>
        <v>42213.31032</v>
      </c>
      <c r="R46" s="69">
        <f>MAX(0,Q46-M46)*Inputs!$B$17</f>
        <v>9709.061373</v>
      </c>
      <c r="S46" s="69">
        <f t="shared" si="3"/>
        <v>0</v>
      </c>
      <c r="T46" s="69">
        <f t="shared" si="4"/>
        <v>236778.8593</v>
      </c>
      <c r="U46" s="69">
        <f>IF(AND(Inputs!$B$79=1,B46="OPEN",A46&gt;=Inputs!$B$82,C46&gt;=Inputs!$B$91,MOD(C46-Inputs!$B$91,Inputs!$B$90)=0),MIN(MAX(0,T46-Inputs!$B$80)*Inputs!$B$81,MAX(0,H46+J46-K46)),0)</f>
        <v>0</v>
      </c>
      <c r="V46" s="69">
        <f>IF(AND(Inputs!$B$79=1,B46="OPEN",A46&gt;=Inputs!$B$82,C46&gt;=Inputs!$B$91,MOD(C46-Inputs!$B$91,Inputs!$B$90)=0),MIN(MAX(0,MAX(0,T46-Inputs!$B$80)*Inputs!$B$81-U46),MAX(0,G46-I46)),0)</f>
        <v>0</v>
      </c>
      <c r="W46" s="69">
        <f t="shared" si="5"/>
        <v>184000</v>
      </c>
      <c r="X46" s="69">
        <f t="shared" si="6"/>
        <v>623326.5462</v>
      </c>
      <c r="Y46" s="69">
        <f t="shared" si="7"/>
        <v>807326.5462</v>
      </c>
      <c r="Z46" s="69">
        <f t="shared" si="8"/>
        <v>236778.8593</v>
      </c>
    </row>
    <row r="47" ht="15.75" customHeight="1">
      <c r="A47" s="87">
        <f t="shared" si="9"/>
        <v>26</v>
      </c>
      <c r="B47" s="87" t="str">
        <f t="array" ref="B47">INDEX('Monthly Base'!$B$5:$B$67,A47+1)</f>
        <v>OPEN</v>
      </c>
      <c r="C47" s="87">
        <f t="array" ref="C47">INDEX('Monthly Base'!$C$5:$C$67,A47+1)</f>
        <v>24</v>
      </c>
      <c r="D47" s="69">
        <f t="array" ref="D47">INDEX('Monthly Base'!$O$5:$O$67,A47+1)</f>
        <v>53795.59322</v>
      </c>
      <c r="E47" s="69">
        <f t="array" ref="E47">INDEX('Monthly Base'!$Y$5:$Y$67,A47+1)</f>
        <v>0</v>
      </c>
      <c r="F47" s="69">
        <f t="shared" si="10"/>
        <v>236778.8593</v>
      </c>
      <c r="G47" s="69">
        <f t="shared" ref="G47:H47" si="36">W46</f>
        <v>184000</v>
      </c>
      <c r="H47" s="69">
        <f t="shared" si="36"/>
        <v>623326.5462</v>
      </c>
      <c r="I47" s="69">
        <f>IF(OR(A47&lt;Inputs!$B$15,G47&lt;=0),0,MIN(Financing!$B$10,G47))</f>
        <v>4000</v>
      </c>
      <c r="J47" s="69">
        <f>IF(OR(A47&lt;Inputs!$B$15,H47&lt;=0),0,H47*Inputs!$B$13/12)</f>
        <v>2467.334245</v>
      </c>
      <c r="K47" s="69">
        <f>IF(OR(A47&lt;Inputs!$B$15,H47&lt;=0),0,MIN(Financing!$C$10,H47+J47))</f>
        <v>16881.22078</v>
      </c>
      <c r="L47" s="69">
        <f t="shared" si="2"/>
        <v>20881.22078</v>
      </c>
      <c r="M47" s="69">
        <f t="shared" si="12"/>
        <v>0</v>
      </c>
      <c r="N47" s="69">
        <f>IF(AND(Inputs!$B$84=1,B47="OPEN",Y46=0),Inputs!$B$85*(1+Inputs!$B$88)^MAX(0,ROUNDUP(C47/12,0)-1),0)</f>
        <v>0</v>
      </c>
      <c r="O47" s="69">
        <f>IF(AND(Inputs!$B$84=1,B47="OPEN",Y46=0),Inputs!$B$86*(1+Inputs!$B$88)^MAX(0,ROUNDUP(C47/12,0)-1),0)</f>
        <v>0</v>
      </c>
      <c r="P47" s="69">
        <f>(N47+O47)*(1+Inputs!$B$66)</f>
        <v>0</v>
      </c>
      <c r="Q47" s="69">
        <f>D47-J47-IF(C47=0,0,Inputs!$B$18)-P47</f>
        <v>44515.25897</v>
      </c>
      <c r="R47" s="69">
        <f>MAX(0,Q47-M47)*Inputs!$B$17</f>
        <v>10238.50956</v>
      </c>
      <c r="S47" s="69">
        <f t="shared" si="3"/>
        <v>0</v>
      </c>
      <c r="T47" s="69">
        <f t="shared" si="4"/>
        <v>259454.7221</v>
      </c>
      <c r="U47" s="69">
        <f>IF(AND(Inputs!$B$79=1,B47="OPEN",A47&gt;=Inputs!$B$82,C47&gt;=Inputs!$B$91,MOD(C47-Inputs!$B$91,Inputs!$B$90)=0),MIN(MAX(0,T47-Inputs!$B$80)*Inputs!$B$81,MAX(0,H47+J47-K47)),0)</f>
        <v>109454.7221</v>
      </c>
      <c r="V47" s="69">
        <f>IF(AND(Inputs!$B$79=1,B47="OPEN",A47&gt;=Inputs!$B$82,C47&gt;=Inputs!$B$91,MOD(C47-Inputs!$B$91,Inputs!$B$90)=0),MIN(MAX(0,MAX(0,T47-Inputs!$B$80)*Inputs!$B$81-U47),MAX(0,G47-I47)),0)</f>
        <v>0</v>
      </c>
      <c r="W47" s="69">
        <f t="shared" si="5"/>
        <v>180000</v>
      </c>
      <c r="X47" s="69">
        <f t="shared" si="6"/>
        <v>499457.9376</v>
      </c>
      <c r="Y47" s="69">
        <f t="shared" si="7"/>
        <v>679457.9376</v>
      </c>
      <c r="Z47" s="69">
        <f t="shared" si="8"/>
        <v>150000</v>
      </c>
    </row>
    <row r="48" ht="15.75" customHeight="1">
      <c r="A48" s="87">
        <f t="shared" si="9"/>
        <v>27</v>
      </c>
      <c r="B48" s="87" t="str">
        <f t="array" ref="B48">INDEX('Monthly Base'!$B$5:$B$67,A48+1)</f>
        <v>OPEN</v>
      </c>
      <c r="C48" s="87">
        <f t="array" ref="C48">INDEX('Monthly Base'!$C$5:$C$67,A48+1)</f>
        <v>25</v>
      </c>
      <c r="D48" s="69">
        <f t="array" ref="D48">INDEX('Monthly Base'!$O$5:$O$67,A48+1)</f>
        <v>55666.52542</v>
      </c>
      <c r="E48" s="69">
        <f t="array" ref="E48">INDEX('Monthly Base'!$Y$5:$Y$67,A48+1)</f>
        <v>0</v>
      </c>
      <c r="F48" s="69">
        <f t="shared" si="10"/>
        <v>150000</v>
      </c>
      <c r="G48" s="69">
        <f t="shared" ref="G48:H48" si="37">W47</f>
        <v>180000</v>
      </c>
      <c r="H48" s="69">
        <f t="shared" si="37"/>
        <v>499457.9376</v>
      </c>
      <c r="I48" s="69">
        <f>IF(OR(A48&lt;Inputs!$B$15,G48&lt;=0),0,MIN(Financing!$B$10,G48))</f>
        <v>4000</v>
      </c>
      <c r="J48" s="69">
        <f>IF(OR(A48&lt;Inputs!$B$15,H48&lt;=0),0,H48*Inputs!$B$13/12)</f>
        <v>1977.021003</v>
      </c>
      <c r="K48" s="69">
        <f>IF(OR(A48&lt;Inputs!$B$15,H48&lt;=0),0,MIN(Financing!$C$10,H48+J48))</f>
        <v>16881.22078</v>
      </c>
      <c r="L48" s="69">
        <f t="shared" si="2"/>
        <v>20881.22078</v>
      </c>
      <c r="M48" s="69">
        <f t="shared" si="12"/>
        <v>0</v>
      </c>
      <c r="N48" s="69">
        <f>IF(AND(Inputs!$B$84=1,B48="OPEN",Y47=0),Inputs!$B$85*(1+Inputs!$B$88)^MAX(0,ROUNDUP(C48/12,0)-1),0)</f>
        <v>0</v>
      </c>
      <c r="O48" s="69">
        <f>IF(AND(Inputs!$B$84=1,B48="OPEN",Y47=0),Inputs!$B$86*(1+Inputs!$B$88)^MAX(0,ROUNDUP(C48/12,0)-1),0)</f>
        <v>0</v>
      </c>
      <c r="P48" s="69">
        <f>(N48+O48)*(1+Inputs!$B$66)</f>
        <v>0</v>
      </c>
      <c r="Q48" s="69">
        <f>D48-J48-IF(C48=0,0,Inputs!$B$18)-P48</f>
        <v>46876.50442</v>
      </c>
      <c r="R48" s="69">
        <f>MAX(0,Q48-M48)*Inputs!$B$17</f>
        <v>10781.59602</v>
      </c>
      <c r="S48" s="69">
        <f t="shared" si="3"/>
        <v>0</v>
      </c>
      <c r="T48" s="69">
        <f t="shared" si="4"/>
        <v>174003.7086</v>
      </c>
      <c r="U48" s="69">
        <f>IF(AND(Inputs!$B$79=1,B48="OPEN",A48&gt;=Inputs!$B$82,C48&gt;=Inputs!$B$91,MOD(C48-Inputs!$B$91,Inputs!$B$90)=0),MIN(MAX(0,T48-Inputs!$B$80)*Inputs!$B$81,MAX(0,H48+J48-K48)),0)</f>
        <v>0</v>
      </c>
      <c r="V48" s="69">
        <f>IF(AND(Inputs!$B$79=1,B48="OPEN",A48&gt;=Inputs!$B$82,C48&gt;=Inputs!$B$91,MOD(C48-Inputs!$B$91,Inputs!$B$90)=0),MIN(MAX(0,MAX(0,T48-Inputs!$B$80)*Inputs!$B$81-U48),MAX(0,G48-I48)),0)</f>
        <v>0</v>
      </c>
      <c r="W48" s="69">
        <f t="shared" si="5"/>
        <v>176000</v>
      </c>
      <c r="X48" s="69">
        <f t="shared" si="6"/>
        <v>484553.7378</v>
      </c>
      <c r="Y48" s="69">
        <f t="shared" si="7"/>
        <v>660553.7378</v>
      </c>
      <c r="Z48" s="69">
        <f t="shared" si="8"/>
        <v>174003.7086</v>
      </c>
    </row>
    <row r="49" ht="15.75" customHeight="1">
      <c r="A49" s="87">
        <f t="shared" si="9"/>
        <v>28</v>
      </c>
      <c r="B49" s="87" t="str">
        <f t="array" ref="B49">INDEX('Monthly Base'!$B$5:$B$67,A49+1)</f>
        <v>OPEN</v>
      </c>
      <c r="C49" s="87">
        <f t="array" ref="C49">INDEX('Monthly Base'!$C$5:$C$67,A49+1)</f>
        <v>26</v>
      </c>
      <c r="D49" s="69">
        <f t="array" ref="D49">INDEX('Monthly Base'!$O$5:$O$67,A49+1)</f>
        <v>57724.55085</v>
      </c>
      <c r="E49" s="69">
        <f t="array" ref="E49">INDEX('Monthly Base'!$Y$5:$Y$67,A49+1)</f>
        <v>0</v>
      </c>
      <c r="F49" s="69">
        <f t="shared" si="10"/>
        <v>174003.7086</v>
      </c>
      <c r="G49" s="69">
        <f t="shared" ref="G49:H49" si="38">W48</f>
        <v>176000</v>
      </c>
      <c r="H49" s="69">
        <f t="shared" si="38"/>
        <v>484553.7378</v>
      </c>
      <c r="I49" s="69">
        <f>IF(OR(A49&lt;Inputs!$B$15,G49&lt;=0),0,MIN(Financing!$B$10,G49))</f>
        <v>4000</v>
      </c>
      <c r="J49" s="69">
        <f>IF(OR(A49&lt;Inputs!$B$15,H49&lt;=0),0,H49*Inputs!$B$13/12)</f>
        <v>1918.025212</v>
      </c>
      <c r="K49" s="69">
        <f>IF(OR(A49&lt;Inputs!$B$15,H49&lt;=0),0,MIN(Financing!$C$10,H49+J49))</f>
        <v>16881.22078</v>
      </c>
      <c r="L49" s="69">
        <f t="shared" si="2"/>
        <v>20881.22078</v>
      </c>
      <c r="M49" s="69">
        <f t="shared" si="12"/>
        <v>0</v>
      </c>
      <c r="N49" s="69">
        <f>IF(AND(Inputs!$B$84=1,B49="OPEN",Y48=0),Inputs!$B$85*(1+Inputs!$B$88)^MAX(0,ROUNDUP(C49/12,0)-1),0)</f>
        <v>0</v>
      </c>
      <c r="O49" s="69">
        <f>IF(AND(Inputs!$B$84=1,B49="OPEN",Y48=0),Inputs!$B$86*(1+Inputs!$B$88)^MAX(0,ROUNDUP(C49/12,0)-1),0)</f>
        <v>0</v>
      </c>
      <c r="P49" s="69">
        <f>(N49+O49)*(1+Inputs!$B$66)</f>
        <v>0</v>
      </c>
      <c r="Q49" s="69">
        <f>D49-J49-IF(C49=0,0,Inputs!$B$18)-P49</f>
        <v>48993.52564</v>
      </c>
      <c r="R49" s="69">
        <f>MAX(0,Q49-M49)*Inputs!$B$17</f>
        <v>11268.5109</v>
      </c>
      <c r="S49" s="69">
        <f t="shared" si="3"/>
        <v>0</v>
      </c>
      <c r="T49" s="69">
        <f t="shared" si="4"/>
        <v>199578.5278</v>
      </c>
      <c r="U49" s="69">
        <f>IF(AND(Inputs!$B$79=1,B49="OPEN",A49&gt;=Inputs!$B$82,C49&gt;=Inputs!$B$91,MOD(C49-Inputs!$B$91,Inputs!$B$90)=0),MIN(MAX(0,T49-Inputs!$B$80)*Inputs!$B$81,MAX(0,H49+J49-K49)),0)</f>
        <v>0</v>
      </c>
      <c r="V49" s="69">
        <f>IF(AND(Inputs!$B$79=1,B49="OPEN",A49&gt;=Inputs!$B$82,C49&gt;=Inputs!$B$91,MOD(C49-Inputs!$B$91,Inputs!$B$90)=0),MIN(MAX(0,MAX(0,T49-Inputs!$B$80)*Inputs!$B$81-U49),MAX(0,G49-I49)),0)</f>
        <v>0</v>
      </c>
      <c r="W49" s="69">
        <f t="shared" si="5"/>
        <v>172000</v>
      </c>
      <c r="X49" s="69">
        <f t="shared" si="6"/>
        <v>469590.5422</v>
      </c>
      <c r="Y49" s="69">
        <f t="shared" si="7"/>
        <v>641590.5422</v>
      </c>
      <c r="Z49" s="69">
        <f t="shared" si="8"/>
        <v>199578.5278</v>
      </c>
    </row>
    <row r="50" ht="15.75" customHeight="1">
      <c r="A50" s="87">
        <f t="shared" si="9"/>
        <v>29</v>
      </c>
      <c r="B50" s="87" t="str">
        <f t="array" ref="B50">INDEX('Monthly Base'!$B$5:$B$67,A50+1)</f>
        <v>OPEN</v>
      </c>
      <c r="C50" s="87">
        <f t="array" ref="C50">INDEX('Monthly Base'!$C$5:$C$67,A50+1)</f>
        <v>27</v>
      </c>
      <c r="D50" s="69">
        <f t="array" ref="D50">INDEX('Monthly Base'!$O$5:$O$67,A50+1)</f>
        <v>59595.48305</v>
      </c>
      <c r="E50" s="69">
        <f t="array" ref="E50">INDEX('Monthly Base'!$Y$5:$Y$67,A50+1)</f>
        <v>0</v>
      </c>
      <c r="F50" s="69">
        <f t="shared" si="10"/>
        <v>199578.5278</v>
      </c>
      <c r="G50" s="69">
        <f t="shared" ref="G50:H50" si="39">W49</f>
        <v>172000</v>
      </c>
      <c r="H50" s="69">
        <f t="shared" si="39"/>
        <v>469590.5422</v>
      </c>
      <c r="I50" s="69">
        <f>IF(OR(A50&lt;Inputs!$B$15,G50&lt;=0),0,MIN(Financing!$B$10,G50))</f>
        <v>4000</v>
      </c>
      <c r="J50" s="69">
        <f>IF(OR(A50&lt;Inputs!$B$15,H50&lt;=0),0,H50*Inputs!$B$13/12)</f>
        <v>1858.795896</v>
      </c>
      <c r="K50" s="69">
        <f>IF(OR(A50&lt;Inputs!$B$15,H50&lt;=0),0,MIN(Financing!$C$10,H50+J50))</f>
        <v>16881.22078</v>
      </c>
      <c r="L50" s="69">
        <f t="shared" si="2"/>
        <v>20881.22078</v>
      </c>
      <c r="M50" s="69">
        <f t="shared" si="12"/>
        <v>0</v>
      </c>
      <c r="N50" s="69">
        <f>IF(AND(Inputs!$B$84=1,B50="OPEN",Y49=0),Inputs!$B$85*(1+Inputs!$B$88)^MAX(0,ROUNDUP(C50/12,0)-1),0)</f>
        <v>0</v>
      </c>
      <c r="O50" s="69">
        <f>IF(AND(Inputs!$B$84=1,B50="OPEN",Y49=0),Inputs!$B$86*(1+Inputs!$B$88)^MAX(0,ROUNDUP(C50/12,0)-1),0)</f>
        <v>0</v>
      </c>
      <c r="P50" s="69">
        <f>(N50+O50)*(1+Inputs!$B$66)</f>
        <v>0</v>
      </c>
      <c r="Q50" s="69">
        <f>D50-J50-IF(C50=0,0,Inputs!$B$18)-P50</f>
        <v>50923.68715</v>
      </c>
      <c r="R50" s="69">
        <f>MAX(0,Q50-M50)*Inputs!$B$17</f>
        <v>11712.44805</v>
      </c>
      <c r="S50" s="69">
        <f t="shared" si="3"/>
        <v>0</v>
      </c>
      <c r="T50" s="69">
        <f t="shared" si="4"/>
        <v>226580.342</v>
      </c>
      <c r="U50" s="69">
        <f>IF(AND(Inputs!$B$79=1,B50="OPEN",A50&gt;=Inputs!$B$82,C50&gt;=Inputs!$B$91,MOD(C50-Inputs!$B$91,Inputs!$B$90)=0),MIN(MAX(0,T50-Inputs!$B$80)*Inputs!$B$81,MAX(0,H50+J50-K50)),0)</f>
        <v>0</v>
      </c>
      <c r="V50" s="69">
        <f>IF(AND(Inputs!$B$79=1,B50="OPEN",A50&gt;=Inputs!$B$82,C50&gt;=Inputs!$B$91,MOD(C50-Inputs!$B$91,Inputs!$B$90)=0),MIN(MAX(0,MAX(0,T50-Inputs!$B$80)*Inputs!$B$81-U50),MAX(0,G50-I50)),0)</f>
        <v>0</v>
      </c>
      <c r="W50" s="69">
        <f t="shared" si="5"/>
        <v>168000</v>
      </c>
      <c r="X50" s="69">
        <f t="shared" si="6"/>
        <v>454568.1173</v>
      </c>
      <c r="Y50" s="69">
        <f t="shared" si="7"/>
        <v>622568.1173</v>
      </c>
      <c r="Z50" s="69">
        <f t="shared" si="8"/>
        <v>226580.342</v>
      </c>
    </row>
    <row r="51" ht="15.75" customHeight="1">
      <c r="A51" s="87">
        <f t="shared" si="9"/>
        <v>30</v>
      </c>
      <c r="B51" s="87" t="str">
        <f t="array" ref="B51">INDEX('Monthly Base'!$B$5:$B$67,A51+1)</f>
        <v>OPEN</v>
      </c>
      <c r="C51" s="87">
        <f t="array" ref="C51">INDEX('Monthly Base'!$C$5:$C$67,A51+1)</f>
        <v>28</v>
      </c>
      <c r="D51" s="69">
        <f t="array" ref="D51">INDEX('Monthly Base'!$O$5:$O$67,A51+1)</f>
        <v>61653.50847</v>
      </c>
      <c r="E51" s="69">
        <f t="array" ref="E51">INDEX('Monthly Base'!$Y$5:$Y$67,A51+1)</f>
        <v>0</v>
      </c>
      <c r="F51" s="69">
        <f t="shared" si="10"/>
        <v>226580.342</v>
      </c>
      <c r="G51" s="69">
        <f t="shared" ref="G51:H51" si="40">W50</f>
        <v>168000</v>
      </c>
      <c r="H51" s="69">
        <f t="shared" si="40"/>
        <v>454568.1173</v>
      </c>
      <c r="I51" s="69">
        <f>IF(OR(A51&lt;Inputs!$B$15,G51&lt;=0),0,MIN(Financing!$B$10,G51))</f>
        <v>4000</v>
      </c>
      <c r="J51" s="69">
        <f>IF(OR(A51&lt;Inputs!$B$15,H51&lt;=0),0,H51*Inputs!$B$13/12)</f>
        <v>1799.332131</v>
      </c>
      <c r="K51" s="69">
        <f>IF(OR(A51&lt;Inputs!$B$15,H51&lt;=0),0,MIN(Financing!$C$10,H51+J51))</f>
        <v>16881.22078</v>
      </c>
      <c r="L51" s="69">
        <f t="shared" si="2"/>
        <v>20881.22078</v>
      </c>
      <c r="M51" s="69">
        <f t="shared" si="12"/>
        <v>0</v>
      </c>
      <c r="N51" s="69">
        <f>IF(AND(Inputs!$B$84=1,B51="OPEN",Y50=0),Inputs!$B$85*(1+Inputs!$B$88)^MAX(0,ROUNDUP(C51/12,0)-1),0)</f>
        <v>0</v>
      </c>
      <c r="O51" s="69">
        <f>IF(AND(Inputs!$B$84=1,B51="OPEN",Y50=0),Inputs!$B$86*(1+Inputs!$B$88)^MAX(0,ROUNDUP(C51/12,0)-1),0)</f>
        <v>0</v>
      </c>
      <c r="P51" s="69">
        <f>(N51+O51)*(1+Inputs!$B$66)</f>
        <v>0</v>
      </c>
      <c r="Q51" s="69">
        <f>D51-J51-IF(C51=0,0,Inputs!$B$18)-P51</f>
        <v>53041.17634</v>
      </c>
      <c r="R51" s="69">
        <f>MAX(0,Q51-M51)*Inputs!$B$17</f>
        <v>12199.47056</v>
      </c>
      <c r="S51" s="69">
        <f t="shared" si="3"/>
        <v>0</v>
      </c>
      <c r="T51" s="69">
        <f t="shared" si="4"/>
        <v>255153.1592</v>
      </c>
      <c r="U51" s="69">
        <f>IF(AND(Inputs!$B$79=1,B51="OPEN",A51&gt;=Inputs!$B$82,C51&gt;=Inputs!$B$91,MOD(C51-Inputs!$B$91,Inputs!$B$90)=0),MIN(MAX(0,T51-Inputs!$B$80)*Inputs!$B$81,MAX(0,H51+J51-K51)),0)</f>
        <v>0</v>
      </c>
      <c r="V51" s="69">
        <f>IF(AND(Inputs!$B$79=1,B51="OPEN",A51&gt;=Inputs!$B$82,C51&gt;=Inputs!$B$91,MOD(C51-Inputs!$B$91,Inputs!$B$90)=0),MIN(MAX(0,MAX(0,T51-Inputs!$B$80)*Inputs!$B$81-U51),MAX(0,G51-I51)),0)</f>
        <v>0</v>
      </c>
      <c r="W51" s="69">
        <f t="shared" si="5"/>
        <v>164000</v>
      </c>
      <c r="X51" s="69">
        <f t="shared" si="6"/>
        <v>439486.2287</v>
      </c>
      <c r="Y51" s="69">
        <f t="shared" si="7"/>
        <v>603486.2287</v>
      </c>
      <c r="Z51" s="69">
        <f t="shared" si="8"/>
        <v>255153.1592</v>
      </c>
    </row>
    <row r="52" ht="15.75" customHeight="1">
      <c r="A52" s="87">
        <f t="shared" si="9"/>
        <v>31</v>
      </c>
      <c r="B52" s="87" t="str">
        <f t="array" ref="B52">INDEX('Monthly Base'!$B$5:$B$67,A52+1)</f>
        <v>OPEN</v>
      </c>
      <c r="C52" s="87">
        <f t="array" ref="C52">INDEX('Monthly Base'!$C$5:$C$67,A52+1)</f>
        <v>29</v>
      </c>
      <c r="D52" s="69">
        <f t="array" ref="D52">INDEX('Monthly Base'!$O$5:$O$67,A52+1)</f>
        <v>63524.44068</v>
      </c>
      <c r="E52" s="69">
        <f t="array" ref="E52">INDEX('Monthly Base'!$Y$5:$Y$67,A52+1)</f>
        <v>0</v>
      </c>
      <c r="F52" s="69">
        <f t="shared" si="10"/>
        <v>255153.1592</v>
      </c>
      <c r="G52" s="69">
        <f t="shared" ref="G52:H52" si="41">W51</f>
        <v>164000</v>
      </c>
      <c r="H52" s="69">
        <f t="shared" si="41"/>
        <v>439486.2287</v>
      </c>
      <c r="I52" s="69">
        <f>IF(OR(A52&lt;Inputs!$B$15,G52&lt;=0),0,MIN(Financing!$B$10,G52))</f>
        <v>4000</v>
      </c>
      <c r="J52" s="69">
        <f>IF(OR(A52&lt;Inputs!$B$15,H52&lt;=0),0,H52*Inputs!$B$13/12)</f>
        <v>1739.632989</v>
      </c>
      <c r="K52" s="69">
        <f>IF(OR(A52&lt;Inputs!$B$15,H52&lt;=0),0,MIN(Financing!$C$10,H52+J52))</f>
        <v>16881.22078</v>
      </c>
      <c r="L52" s="69">
        <f t="shared" si="2"/>
        <v>20881.22078</v>
      </c>
      <c r="M52" s="69">
        <f t="shared" si="12"/>
        <v>0</v>
      </c>
      <c r="N52" s="69">
        <f>IF(AND(Inputs!$B$84=1,B52="OPEN",Y51=0),Inputs!$B$85*(1+Inputs!$B$88)^MAX(0,ROUNDUP(C52/12,0)-1),0)</f>
        <v>0</v>
      </c>
      <c r="O52" s="69">
        <f>IF(AND(Inputs!$B$84=1,B52="OPEN",Y51=0),Inputs!$B$86*(1+Inputs!$B$88)^MAX(0,ROUNDUP(C52/12,0)-1),0)</f>
        <v>0</v>
      </c>
      <c r="P52" s="69">
        <f>(N52+O52)*(1+Inputs!$B$66)</f>
        <v>0</v>
      </c>
      <c r="Q52" s="69">
        <f>D52-J52-IF(C52=0,0,Inputs!$B$18)-P52</f>
        <v>54971.80769</v>
      </c>
      <c r="R52" s="69">
        <f>MAX(0,Q52-M52)*Inputs!$B$17</f>
        <v>12643.51577</v>
      </c>
      <c r="S52" s="69">
        <f t="shared" si="3"/>
        <v>0</v>
      </c>
      <c r="T52" s="69">
        <f t="shared" si="4"/>
        <v>285152.8633</v>
      </c>
      <c r="U52" s="69">
        <f>IF(AND(Inputs!$B$79=1,B52="OPEN",A52&gt;=Inputs!$B$82,C52&gt;=Inputs!$B$91,MOD(C52-Inputs!$B$91,Inputs!$B$90)=0),MIN(MAX(0,T52-Inputs!$B$80)*Inputs!$B$81,MAX(0,H52+J52-K52)),0)</f>
        <v>0</v>
      </c>
      <c r="V52" s="69">
        <f>IF(AND(Inputs!$B$79=1,B52="OPEN",A52&gt;=Inputs!$B$82,C52&gt;=Inputs!$B$91,MOD(C52-Inputs!$B$91,Inputs!$B$90)=0),MIN(MAX(0,MAX(0,T52-Inputs!$B$80)*Inputs!$B$81-U52),MAX(0,G52-I52)),0)</f>
        <v>0</v>
      </c>
      <c r="W52" s="69">
        <f t="shared" si="5"/>
        <v>160000</v>
      </c>
      <c r="X52" s="69">
        <f t="shared" si="6"/>
        <v>424344.6409</v>
      </c>
      <c r="Y52" s="69">
        <f t="shared" si="7"/>
        <v>584344.6409</v>
      </c>
      <c r="Z52" s="69">
        <f t="shared" si="8"/>
        <v>285152.8633</v>
      </c>
    </row>
    <row r="53" ht="15.75" customHeight="1">
      <c r="A53" s="87">
        <f t="shared" si="9"/>
        <v>32</v>
      </c>
      <c r="B53" s="87" t="str">
        <f t="array" ref="B53">INDEX('Monthly Base'!$B$5:$B$67,A53+1)</f>
        <v>OPEN</v>
      </c>
      <c r="C53" s="87">
        <f t="array" ref="C53">INDEX('Monthly Base'!$C$5:$C$67,A53+1)</f>
        <v>30</v>
      </c>
      <c r="D53" s="69">
        <f t="array" ref="D53">INDEX('Monthly Base'!$O$5:$O$67,A53+1)</f>
        <v>65582.4661</v>
      </c>
      <c r="E53" s="69">
        <f t="array" ref="E53">INDEX('Monthly Base'!$Y$5:$Y$67,A53+1)</f>
        <v>0</v>
      </c>
      <c r="F53" s="69">
        <f t="shared" si="10"/>
        <v>285152.8633</v>
      </c>
      <c r="G53" s="69">
        <f t="shared" ref="G53:H53" si="42">W52</f>
        <v>160000</v>
      </c>
      <c r="H53" s="69">
        <f t="shared" si="42"/>
        <v>424344.6409</v>
      </c>
      <c r="I53" s="69">
        <f>IF(OR(A53&lt;Inputs!$B$15,G53&lt;=0),0,MIN(Financing!$B$10,G53))</f>
        <v>4000</v>
      </c>
      <c r="J53" s="69">
        <f>IF(OR(A53&lt;Inputs!$B$15,H53&lt;=0),0,H53*Inputs!$B$13/12)</f>
        <v>1679.697537</v>
      </c>
      <c r="K53" s="69">
        <f>IF(OR(A53&lt;Inputs!$B$15,H53&lt;=0),0,MIN(Financing!$C$10,H53+J53))</f>
        <v>16881.22078</v>
      </c>
      <c r="L53" s="69">
        <f t="shared" si="2"/>
        <v>20881.22078</v>
      </c>
      <c r="M53" s="69">
        <f t="shared" si="12"/>
        <v>0</v>
      </c>
      <c r="N53" s="69">
        <f>IF(AND(Inputs!$B$84=1,B53="OPEN",Y52=0),Inputs!$B$85*(1+Inputs!$B$88)^MAX(0,ROUNDUP(C53/12,0)-1),0)</f>
        <v>0</v>
      </c>
      <c r="O53" s="69">
        <f>IF(AND(Inputs!$B$84=1,B53="OPEN",Y52=0),Inputs!$B$86*(1+Inputs!$B$88)^MAX(0,ROUNDUP(C53/12,0)-1),0)</f>
        <v>0</v>
      </c>
      <c r="P53" s="69">
        <f>(N53+O53)*(1+Inputs!$B$66)</f>
        <v>0</v>
      </c>
      <c r="Q53" s="69">
        <f>D53-J53-IF(C53=0,0,Inputs!$B$18)-P53</f>
        <v>57089.76856</v>
      </c>
      <c r="R53" s="69">
        <f>MAX(0,Q53-M53)*Inputs!$B$17</f>
        <v>13130.64677</v>
      </c>
      <c r="S53" s="69">
        <f t="shared" si="3"/>
        <v>0</v>
      </c>
      <c r="T53" s="69">
        <f t="shared" si="4"/>
        <v>316723.4618</v>
      </c>
      <c r="U53" s="69">
        <f>IF(AND(Inputs!$B$79=1,B53="OPEN",A53&gt;=Inputs!$B$82,C53&gt;=Inputs!$B$91,MOD(C53-Inputs!$B$91,Inputs!$B$90)=0),MIN(MAX(0,T53-Inputs!$B$80)*Inputs!$B$81,MAX(0,H53+J53-K53)),0)</f>
        <v>166723.4618</v>
      </c>
      <c r="V53" s="69">
        <f>IF(AND(Inputs!$B$79=1,B53="OPEN",A53&gt;=Inputs!$B$82,C53&gt;=Inputs!$B$91,MOD(C53-Inputs!$B$91,Inputs!$B$90)=0),MIN(MAX(0,MAX(0,T53-Inputs!$B$80)*Inputs!$B$81-U53),MAX(0,G53-I53)),0)</f>
        <v>0</v>
      </c>
      <c r="W53" s="69">
        <f t="shared" si="5"/>
        <v>156000</v>
      </c>
      <c r="X53" s="69">
        <f t="shared" si="6"/>
        <v>242419.6558</v>
      </c>
      <c r="Y53" s="69">
        <f t="shared" si="7"/>
        <v>398419.6558</v>
      </c>
      <c r="Z53" s="69">
        <f t="shared" si="8"/>
        <v>150000</v>
      </c>
    </row>
    <row r="54" ht="15.75" customHeight="1">
      <c r="A54" s="87">
        <f t="shared" si="9"/>
        <v>33</v>
      </c>
      <c r="B54" s="87" t="str">
        <f t="array" ref="B54">INDEX('Monthly Base'!$B$5:$B$67,A54+1)</f>
        <v>OPEN</v>
      </c>
      <c r="C54" s="87">
        <f t="array" ref="C54">INDEX('Monthly Base'!$C$5:$C$67,A54+1)</f>
        <v>31</v>
      </c>
      <c r="D54" s="69">
        <f t="array" ref="D54">INDEX('Monthly Base'!$O$5:$O$67,A54+1)</f>
        <v>67453.39831</v>
      </c>
      <c r="E54" s="69">
        <f t="array" ref="E54">INDEX('Monthly Base'!$Y$5:$Y$67,A54+1)</f>
        <v>0</v>
      </c>
      <c r="F54" s="69">
        <f t="shared" si="10"/>
        <v>150000</v>
      </c>
      <c r="G54" s="69">
        <f t="shared" ref="G54:H54" si="43">W53</f>
        <v>156000</v>
      </c>
      <c r="H54" s="69">
        <f t="shared" si="43"/>
        <v>242419.6558</v>
      </c>
      <c r="I54" s="69">
        <f>IF(OR(A54&lt;Inputs!$B$15,G54&lt;=0),0,MIN(Financing!$B$10,G54))</f>
        <v>4000</v>
      </c>
      <c r="J54" s="69">
        <f>IF(OR(A54&lt;Inputs!$B$15,H54&lt;=0),0,H54*Inputs!$B$13/12)</f>
        <v>959.5778042</v>
      </c>
      <c r="K54" s="69">
        <f>IF(OR(A54&lt;Inputs!$B$15,H54&lt;=0),0,MIN(Financing!$C$10,H54+J54))</f>
        <v>16881.22078</v>
      </c>
      <c r="L54" s="69">
        <f t="shared" si="2"/>
        <v>20881.22078</v>
      </c>
      <c r="M54" s="69">
        <f t="shared" si="12"/>
        <v>0</v>
      </c>
      <c r="N54" s="69">
        <f>IF(AND(Inputs!$B$84=1,B54="OPEN",Y53=0),Inputs!$B$85*(1+Inputs!$B$88)^MAX(0,ROUNDUP(C54/12,0)-1),0)</f>
        <v>0</v>
      </c>
      <c r="O54" s="69">
        <f>IF(AND(Inputs!$B$84=1,B54="OPEN",Y53=0),Inputs!$B$86*(1+Inputs!$B$88)^MAX(0,ROUNDUP(C54/12,0)-1),0)</f>
        <v>0</v>
      </c>
      <c r="P54" s="69">
        <f>(N54+O54)*(1+Inputs!$B$66)</f>
        <v>0</v>
      </c>
      <c r="Q54" s="69">
        <f>D54-J54-IF(C54=0,0,Inputs!$B$18)-P54</f>
        <v>59680.8205</v>
      </c>
      <c r="R54" s="69">
        <f>MAX(0,Q54-M54)*Inputs!$B$17</f>
        <v>13726.58872</v>
      </c>
      <c r="S54" s="69">
        <f t="shared" si="3"/>
        <v>0</v>
      </c>
      <c r="T54" s="69">
        <f t="shared" si="4"/>
        <v>182845.5888</v>
      </c>
      <c r="U54" s="69">
        <f>IF(AND(Inputs!$B$79=1,B54="OPEN",A54&gt;=Inputs!$B$82,C54&gt;=Inputs!$B$91,MOD(C54-Inputs!$B$91,Inputs!$B$90)=0),MIN(MAX(0,T54-Inputs!$B$80)*Inputs!$B$81,MAX(0,H54+J54-K54)),0)</f>
        <v>0</v>
      </c>
      <c r="V54" s="69">
        <f>IF(AND(Inputs!$B$79=1,B54="OPEN",A54&gt;=Inputs!$B$82,C54&gt;=Inputs!$B$91,MOD(C54-Inputs!$B$91,Inputs!$B$90)=0),MIN(MAX(0,MAX(0,T54-Inputs!$B$80)*Inputs!$B$81-U54),MAX(0,G54-I54)),0)</f>
        <v>0</v>
      </c>
      <c r="W54" s="69">
        <f t="shared" si="5"/>
        <v>152000</v>
      </c>
      <c r="X54" s="69">
        <f t="shared" si="6"/>
        <v>226498.0128</v>
      </c>
      <c r="Y54" s="69">
        <f t="shared" si="7"/>
        <v>378498.0128</v>
      </c>
      <c r="Z54" s="69">
        <f t="shared" si="8"/>
        <v>182845.5888</v>
      </c>
    </row>
    <row r="55" ht="15.75" customHeight="1">
      <c r="A55" s="87">
        <f t="shared" si="9"/>
        <v>34</v>
      </c>
      <c r="B55" s="87" t="str">
        <f t="array" ref="B55">INDEX('Monthly Base'!$B$5:$B$67,A55+1)</f>
        <v>OPEN</v>
      </c>
      <c r="C55" s="87">
        <f t="array" ref="C55">INDEX('Monthly Base'!$C$5:$C$67,A55+1)</f>
        <v>32</v>
      </c>
      <c r="D55" s="69">
        <f t="array" ref="D55">INDEX('Monthly Base'!$O$5:$O$67,A55+1)</f>
        <v>69324.33051</v>
      </c>
      <c r="E55" s="69">
        <f t="array" ref="E55">INDEX('Monthly Base'!$Y$5:$Y$67,A55+1)</f>
        <v>0</v>
      </c>
      <c r="F55" s="69">
        <f t="shared" si="10"/>
        <v>182845.5888</v>
      </c>
      <c r="G55" s="69">
        <f t="shared" ref="G55:H55" si="44">W54</f>
        <v>152000</v>
      </c>
      <c r="H55" s="69">
        <f t="shared" si="44"/>
        <v>226498.0128</v>
      </c>
      <c r="I55" s="69">
        <f>IF(OR(A55&lt;Inputs!$B$15,G55&lt;=0),0,MIN(Financing!$B$10,G55))</f>
        <v>4000</v>
      </c>
      <c r="J55" s="69">
        <f>IF(OR(A55&lt;Inputs!$B$15,H55&lt;=0),0,H55*Inputs!$B$13/12)</f>
        <v>896.5546341</v>
      </c>
      <c r="K55" s="69">
        <f>IF(OR(A55&lt;Inputs!$B$15,H55&lt;=0),0,MIN(Financing!$C$10,H55+J55))</f>
        <v>16881.22078</v>
      </c>
      <c r="L55" s="69">
        <f t="shared" si="2"/>
        <v>20881.22078</v>
      </c>
      <c r="M55" s="69">
        <f t="shared" si="12"/>
        <v>0</v>
      </c>
      <c r="N55" s="69">
        <f>IF(AND(Inputs!$B$84=1,B55="OPEN",Y54=0),Inputs!$B$85*(1+Inputs!$B$88)^MAX(0,ROUNDUP(C55/12,0)-1),0)</f>
        <v>0</v>
      </c>
      <c r="O55" s="69">
        <f>IF(AND(Inputs!$B$84=1,B55="OPEN",Y54=0),Inputs!$B$86*(1+Inputs!$B$88)^MAX(0,ROUNDUP(C55/12,0)-1),0)</f>
        <v>0</v>
      </c>
      <c r="P55" s="69">
        <f>(N55+O55)*(1+Inputs!$B$66)</f>
        <v>0</v>
      </c>
      <c r="Q55" s="69">
        <f>D55-J55-IF(C55=0,0,Inputs!$B$18)-P55</f>
        <v>61614.77587</v>
      </c>
      <c r="R55" s="69">
        <f>MAX(0,Q55-M55)*Inputs!$B$17</f>
        <v>14171.39845</v>
      </c>
      <c r="S55" s="69">
        <f t="shared" si="3"/>
        <v>0</v>
      </c>
      <c r="T55" s="69">
        <f t="shared" si="4"/>
        <v>217117.3001</v>
      </c>
      <c r="U55" s="69">
        <f>IF(AND(Inputs!$B$79=1,B55="OPEN",A55&gt;=Inputs!$B$82,C55&gt;=Inputs!$B$91,MOD(C55-Inputs!$B$91,Inputs!$B$90)=0),MIN(MAX(0,T55-Inputs!$B$80)*Inputs!$B$81,MAX(0,H55+J55-K55)),0)</f>
        <v>0</v>
      </c>
      <c r="V55" s="69">
        <f>IF(AND(Inputs!$B$79=1,B55="OPEN",A55&gt;=Inputs!$B$82,C55&gt;=Inputs!$B$91,MOD(C55-Inputs!$B$91,Inputs!$B$90)=0),MIN(MAX(0,MAX(0,T55-Inputs!$B$80)*Inputs!$B$81-U55),MAX(0,G55-I55)),0)</f>
        <v>0</v>
      </c>
      <c r="W55" s="69">
        <f t="shared" si="5"/>
        <v>148000</v>
      </c>
      <c r="X55" s="69">
        <f t="shared" si="6"/>
        <v>210513.3467</v>
      </c>
      <c r="Y55" s="69">
        <f t="shared" si="7"/>
        <v>358513.3467</v>
      </c>
      <c r="Z55" s="69">
        <f t="shared" si="8"/>
        <v>217117.3001</v>
      </c>
    </row>
    <row r="56" ht="15.75" customHeight="1">
      <c r="A56" s="87">
        <f t="shared" si="9"/>
        <v>35</v>
      </c>
      <c r="B56" s="87" t="str">
        <f t="array" ref="B56">INDEX('Monthly Base'!$B$5:$B$67,A56+1)</f>
        <v>OPEN</v>
      </c>
      <c r="C56" s="87">
        <f t="array" ref="C56">INDEX('Monthly Base'!$C$5:$C$67,A56+1)</f>
        <v>33</v>
      </c>
      <c r="D56" s="69">
        <f t="array" ref="D56">INDEX('Monthly Base'!$O$5:$O$67,A56+1)</f>
        <v>71382.35593</v>
      </c>
      <c r="E56" s="69">
        <f t="array" ref="E56">INDEX('Monthly Base'!$Y$5:$Y$67,A56+1)</f>
        <v>0</v>
      </c>
      <c r="F56" s="69">
        <f t="shared" si="10"/>
        <v>217117.3001</v>
      </c>
      <c r="G56" s="69">
        <f t="shared" ref="G56:H56" si="45">W55</f>
        <v>148000</v>
      </c>
      <c r="H56" s="69">
        <f t="shared" si="45"/>
        <v>210513.3467</v>
      </c>
      <c r="I56" s="69">
        <f>IF(OR(A56&lt;Inputs!$B$15,G56&lt;=0),0,MIN(Financing!$B$10,G56))</f>
        <v>4000</v>
      </c>
      <c r="J56" s="69">
        <f>IF(OR(A56&lt;Inputs!$B$15,H56&lt;=0),0,H56*Inputs!$B$13/12)</f>
        <v>833.2819973</v>
      </c>
      <c r="K56" s="69">
        <f>IF(OR(A56&lt;Inputs!$B$15,H56&lt;=0),0,MIN(Financing!$C$10,H56+J56))</f>
        <v>16881.22078</v>
      </c>
      <c r="L56" s="69">
        <f t="shared" si="2"/>
        <v>20881.22078</v>
      </c>
      <c r="M56" s="69">
        <f t="shared" si="12"/>
        <v>0</v>
      </c>
      <c r="N56" s="69">
        <f>IF(AND(Inputs!$B$84=1,B56="OPEN",Y55=0),Inputs!$B$85*(1+Inputs!$B$88)^MAX(0,ROUNDUP(C56/12,0)-1),0)</f>
        <v>0</v>
      </c>
      <c r="O56" s="69">
        <f>IF(AND(Inputs!$B$84=1,B56="OPEN",Y55=0),Inputs!$B$86*(1+Inputs!$B$88)^MAX(0,ROUNDUP(C56/12,0)-1),0)</f>
        <v>0</v>
      </c>
      <c r="P56" s="69">
        <f>(N56+O56)*(1+Inputs!$B$66)</f>
        <v>0</v>
      </c>
      <c r="Q56" s="69">
        <f>D56-J56-IF(C56=0,0,Inputs!$B$18)-P56</f>
        <v>63736.07393</v>
      </c>
      <c r="R56" s="69">
        <f>MAX(0,Q56-M56)*Inputs!$B$17</f>
        <v>14659.29701</v>
      </c>
      <c r="S56" s="69">
        <f t="shared" si="3"/>
        <v>0</v>
      </c>
      <c r="T56" s="69">
        <f t="shared" si="4"/>
        <v>252959.1382</v>
      </c>
      <c r="U56" s="69">
        <f>IF(AND(Inputs!$B$79=1,B56="OPEN",A56&gt;=Inputs!$B$82,C56&gt;=Inputs!$B$91,MOD(C56-Inputs!$B$91,Inputs!$B$90)=0),MIN(MAX(0,T56-Inputs!$B$80)*Inputs!$B$81,MAX(0,H56+J56-K56)),0)</f>
        <v>0</v>
      </c>
      <c r="V56" s="69">
        <f>IF(AND(Inputs!$B$79=1,B56="OPEN",A56&gt;=Inputs!$B$82,C56&gt;=Inputs!$B$91,MOD(C56-Inputs!$B$91,Inputs!$B$90)=0),MIN(MAX(0,MAX(0,T56-Inputs!$B$80)*Inputs!$B$81-U56),MAX(0,G56-I56)),0)</f>
        <v>0</v>
      </c>
      <c r="W56" s="69">
        <f t="shared" si="5"/>
        <v>144000</v>
      </c>
      <c r="X56" s="69">
        <f t="shared" si="6"/>
        <v>194465.4079</v>
      </c>
      <c r="Y56" s="69">
        <f t="shared" si="7"/>
        <v>338465.4079</v>
      </c>
      <c r="Z56" s="69">
        <f t="shared" si="8"/>
        <v>252959.1382</v>
      </c>
    </row>
    <row r="57" ht="15.75" customHeight="1">
      <c r="A57" s="87">
        <f t="shared" si="9"/>
        <v>36</v>
      </c>
      <c r="B57" s="87" t="str">
        <f t="array" ref="B57">INDEX('Monthly Base'!$B$5:$B$67,A57+1)</f>
        <v>OPEN</v>
      </c>
      <c r="C57" s="87">
        <f t="array" ref="C57">INDEX('Monthly Base'!$C$5:$C$67,A57+1)</f>
        <v>34</v>
      </c>
      <c r="D57" s="69">
        <f t="array" ref="D57">INDEX('Monthly Base'!$O$5:$O$67,A57+1)</f>
        <v>73253.28814</v>
      </c>
      <c r="E57" s="69">
        <f t="array" ref="E57">INDEX('Monthly Base'!$Y$5:$Y$67,A57+1)</f>
        <v>0</v>
      </c>
      <c r="F57" s="69">
        <f t="shared" si="10"/>
        <v>252959.1382</v>
      </c>
      <c r="G57" s="69">
        <f t="shared" ref="G57:H57" si="46">W56</f>
        <v>144000</v>
      </c>
      <c r="H57" s="69">
        <f t="shared" si="46"/>
        <v>194465.4079</v>
      </c>
      <c r="I57" s="69">
        <f>IF(OR(A57&lt;Inputs!$B$15,G57&lt;=0),0,MIN(Financing!$B$10,G57))</f>
        <v>4000</v>
      </c>
      <c r="J57" s="69">
        <f>IF(OR(A57&lt;Inputs!$B$15,H57&lt;=0),0,H57*Inputs!$B$13/12)</f>
        <v>769.7589063</v>
      </c>
      <c r="K57" s="69">
        <f>IF(OR(A57&lt;Inputs!$B$15,H57&lt;=0),0,MIN(Financing!$C$10,H57+J57))</f>
        <v>16881.22078</v>
      </c>
      <c r="L57" s="69">
        <f t="shared" si="2"/>
        <v>20881.22078</v>
      </c>
      <c r="M57" s="69">
        <f t="shared" si="12"/>
        <v>0</v>
      </c>
      <c r="N57" s="69">
        <f>IF(AND(Inputs!$B$84=1,B57="OPEN",Y56=0),Inputs!$B$85*(1+Inputs!$B$88)^MAX(0,ROUNDUP(C57/12,0)-1),0)</f>
        <v>0</v>
      </c>
      <c r="O57" s="69">
        <f>IF(AND(Inputs!$B$84=1,B57="OPEN",Y56=0),Inputs!$B$86*(1+Inputs!$B$88)^MAX(0,ROUNDUP(C57/12,0)-1),0)</f>
        <v>0</v>
      </c>
      <c r="P57" s="69">
        <f>(N57+O57)*(1+Inputs!$B$66)</f>
        <v>0</v>
      </c>
      <c r="Q57" s="69">
        <f>D57-J57-IF(C57=0,0,Inputs!$B$18)-P57</f>
        <v>65670.52923</v>
      </c>
      <c r="R57" s="69">
        <f>MAX(0,Q57-M57)*Inputs!$B$17</f>
        <v>15104.22172</v>
      </c>
      <c r="S57" s="69">
        <f t="shared" si="3"/>
        <v>0</v>
      </c>
      <c r="T57" s="69">
        <f t="shared" si="4"/>
        <v>290226.9839</v>
      </c>
      <c r="U57" s="69">
        <f>IF(AND(Inputs!$B$79=1,B57="OPEN",A57&gt;=Inputs!$B$82,C57&gt;=Inputs!$B$91,MOD(C57-Inputs!$B$91,Inputs!$B$90)=0),MIN(MAX(0,T57-Inputs!$B$80)*Inputs!$B$81,MAX(0,H57+J57-K57)),0)</f>
        <v>0</v>
      </c>
      <c r="V57" s="69">
        <f>IF(AND(Inputs!$B$79=1,B57="OPEN",A57&gt;=Inputs!$B$82,C57&gt;=Inputs!$B$91,MOD(C57-Inputs!$B$91,Inputs!$B$90)=0),MIN(MAX(0,MAX(0,T57-Inputs!$B$80)*Inputs!$B$81-U57),MAX(0,G57-I57)),0)</f>
        <v>0</v>
      </c>
      <c r="W57" s="69">
        <f t="shared" si="5"/>
        <v>140000</v>
      </c>
      <c r="X57" s="69">
        <f t="shared" si="6"/>
        <v>178353.946</v>
      </c>
      <c r="Y57" s="69">
        <f t="shared" si="7"/>
        <v>318353.946</v>
      </c>
      <c r="Z57" s="69">
        <f t="shared" si="8"/>
        <v>290226.9839</v>
      </c>
    </row>
    <row r="58" ht="15.75" customHeight="1">
      <c r="A58" s="87">
        <f t="shared" si="9"/>
        <v>37</v>
      </c>
      <c r="B58" s="87" t="str">
        <f t="array" ref="B58">INDEX('Monthly Base'!$B$5:$B$67,A58+1)</f>
        <v>OPEN</v>
      </c>
      <c r="C58" s="87">
        <f t="array" ref="C58">INDEX('Monthly Base'!$C$5:$C$67,A58+1)</f>
        <v>35</v>
      </c>
      <c r="D58" s="69">
        <f t="array" ref="D58">INDEX('Monthly Base'!$O$5:$O$67,A58+1)</f>
        <v>75311.31356</v>
      </c>
      <c r="E58" s="69">
        <f t="array" ref="E58">INDEX('Monthly Base'!$Y$5:$Y$67,A58+1)</f>
        <v>0</v>
      </c>
      <c r="F58" s="69">
        <f t="shared" si="10"/>
        <v>290226.9839</v>
      </c>
      <c r="G58" s="69">
        <f t="shared" ref="G58:H58" si="47">W57</f>
        <v>140000</v>
      </c>
      <c r="H58" s="69">
        <f t="shared" si="47"/>
        <v>178353.946</v>
      </c>
      <c r="I58" s="69">
        <f>IF(OR(A58&lt;Inputs!$B$15,G58&lt;=0),0,MIN(Financing!$B$10,G58))</f>
        <v>4000</v>
      </c>
      <c r="J58" s="69">
        <f>IF(OR(A58&lt;Inputs!$B$15,H58&lt;=0),0,H58*Inputs!$B$13/12)</f>
        <v>705.9843697</v>
      </c>
      <c r="K58" s="69">
        <f>IF(OR(A58&lt;Inputs!$B$15,H58&lt;=0),0,MIN(Financing!$C$10,H58+J58))</f>
        <v>16881.22078</v>
      </c>
      <c r="L58" s="69">
        <f t="shared" si="2"/>
        <v>20881.22078</v>
      </c>
      <c r="M58" s="69">
        <f t="shared" si="12"/>
        <v>0</v>
      </c>
      <c r="N58" s="69">
        <f>IF(AND(Inputs!$B$84=1,B58="OPEN",Y57=0),Inputs!$B$85*(1+Inputs!$B$88)^MAX(0,ROUNDUP(C58/12,0)-1),0)</f>
        <v>0</v>
      </c>
      <c r="O58" s="69">
        <f>IF(AND(Inputs!$B$84=1,B58="OPEN",Y57=0),Inputs!$B$86*(1+Inputs!$B$88)^MAX(0,ROUNDUP(C58/12,0)-1),0)</f>
        <v>0</v>
      </c>
      <c r="P58" s="69">
        <f>(N58+O58)*(1+Inputs!$B$66)</f>
        <v>0</v>
      </c>
      <c r="Q58" s="69">
        <f>D58-J58-IF(C58=0,0,Inputs!$B$18)-P58</f>
        <v>67792.32919</v>
      </c>
      <c r="R58" s="69">
        <f>MAX(0,Q58-M58)*Inputs!$B$17</f>
        <v>15592.23571</v>
      </c>
      <c r="S58" s="69">
        <f t="shared" si="3"/>
        <v>0</v>
      </c>
      <c r="T58" s="69">
        <f t="shared" si="4"/>
        <v>329064.8409</v>
      </c>
      <c r="U58" s="69">
        <f>IF(AND(Inputs!$B$79=1,B58="OPEN",A58&gt;=Inputs!$B$82,C58&gt;=Inputs!$B$91,MOD(C58-Inputs!$B$91,Inputs!$B$90)=0),MIN(MAX(0,T58-Inputs!$B$80)*Inputs!$B$81,MAX(0,H58+J58-K58)),0)</f>
        <v>0</v>
      </c>
      <c r="V58" s="69">
        <f>IF(AND(Inputs!$B$79=1,B58="OPEN",A58&gt;=Inputs!$B$82,C58&gt;=Inputs!$B$91,MOD(C58-Inputs!$B$91,Inputs!$B$90)=0),MIN(MAX(0,MAX(0,T58-Inputs!$B$80)*Inputs!$B$81-U58),MAX(0,G58-I58)),0)</f>
        <v>0</v>
      </c>
      <c r="W58" s="69">
        <f t="shared" si="5"/>
        <v>136000</v>
      </c>
      <c r="X58" s="69">
        <f t="shared" si="6"/>
        <v>162178.7096</v>
      </c>
      <c r="Y58" s="69">
        <f t="shared" si="7"/>
        <v>298178.7096</v>
      </c>
      <c r="Z58" s="69">
        <f t="shared" si="8"/>
        <v>329064.8409</v>
      </c>
    </row>
    <row r="59" ht="15.75" customHeight="1">
      <c r="A59" s="87">
        <f t="shared" si="9"/>
        <v>38</v>
      </c>
      <c r="B59" s="87" t="str">
        <f t="array" ref="B59">INDEX('Monthly Base'!$B$5:$B$67,A59+1)</f>
        <v>OPEN</v>
      </c>
      <c r="C59" s="87">
        <f t="array" ref="C59">INDEX('Monthly Base'!$C$5:$C$67,A59+1)</f>
        <v>36</v>
      </c>
      <c r="D59" s="69">
        <f t="array" ref="D59">INDEX('Monthly Base'!$O$5:$O$67,A59+1)</f>
        <v>77182.24576</v>
      </c>
      <c r="E59" s="69">
        <f t="array" ref="E59">INDEX('Monthly Base'!$Y$5:$Y$67,A59+1)</f>
        <v>0</v>
      </c>
      <c r="F59" s="69">
        <f t="shared" si="10"/>
        <v>329064.8409</v>
      </c>
      <c r="G59" s="69">
        <f t="shared" ref="G59:H59" si="48">W58</f>
        <v>136000</v>
      </c>
      <c r="H59" s="69">
        <f t="shared" si="48"/>
        <v>162178.7096</v>
      </c>
      <c r="I59" s="69">
        <f>IF(OR(A59&lt;Inputs!$B$15,G59&lt;=0),0,MIN(Financing!$B$10,G59))</f>
        <v>4000</v>
      </c>
      <c r="J59" s="69">
        <f>IF(OR(A59&lt;Inputs!$B$15,H59&lt;=0),0,H59*Inputs!$B$13/12)</f>
        <v>641.9573922</v>
      </c>
      <c r="K59" s="69">
        <f>IF(OR(A59&lt;Inputs!$B$15,H59&lt;=0),0,MIN(Financing!$C$10,H59+J59))</f>
        <v>16881.22078</v>
      </c>
      <c r="L59" s="69">
        <f t="shared" si="2"/>
        <v>20881.22078</v>
      </c>
      <c r="M59" s="69">
        <f t="shared" si="12"/>
        <v>0</v>
      </c>
      <c r="N59" s="69">
        <f>IF(AND(Inputs!$B$84=1,B59="OPEN",Y58=0),Inputs!$B$85*(1+Inputs!$B$88)^MAX(0,ROUNDUP(C59/12,0)-1),0)</f>
        <v>0</v>
      </c>
      <c r="O59" s="69">
        <f>IF(AND(Inputs!$B$84=1,B59="OPEN",Y58=0),Inputs!$B$86*(1+Inputs!$B$88)^MAX(0,ROUNDUP(C59/12,0)-1),0)</f>
        <v>0</v>
      </c>
      <c r="P59" s="69">
        <f>(N59+O59)*(1+Inputs!$B$66)</f>
        <v>0</v>
      </c>
      <c r="Q59" s="69">
        <f>D59-J59-IF(C59=0,0,Inputs!$B$18)-P59</f>
        <v>69727.28837</v>
      </c>
      <c r="R59" s="69">
        <f>MAX(0,Q59-M59)*Inputs!$B$17</f>
        <v>16037.27633</v>
      </c>
      <c r="S59" s="69">
        <f t="shared" si="3"/>
        <v>0</v>
      </c>
      <c r="T59" s="69">
        <f t="shared" si="4"/>
        <v>369328.5896</v>
      </c>
      <c r="U59" s="69">
        <f>IF(AND(Inputs!$B$79=1,B59="OPEN",A59&gt;=Inputs!$B$82,C59&gt;=Inputs!$B$91,MOD(C59-Inputs!$B$91,Inputs!$B$90)=0),MIN(MAX(0,T59-Inputs!$B$80)*Inputs!$B$81,MAX(0,H59+J59-K59)),0)</f>
        <v>145939.4462</v>
      </c>
      <c r="V59" s="69">
        <f>IF(AND(Inputs!$B$79=1,B59="OPEN",A59&gt;=Inputs!$B$82,C59&gt;=Inputs!$B$91,MOD(C59-Inputs!$B$91,Inputs!$B$90)=0),MIN(MAX(0,MAX(0,T59-Inputs!$B$80)*Inputs!$B$81-U59),MAX(0,G59-I59)),0)</f>
        <v>73389.14336</v>
      </c>
      <c r="W59" s="69">
        <f t="shared" si="5"/>
        <v>58610.85664</v>
      </c>
      <c r="X59" s="69">
        <f t="shared" si="6"/>
        <v>0</v>
      </c>
      <c r="Y59" s="69">
        <f t="shared" si="7"/>
        <v>58610.85664</v>
      </c>
      <c r="Z59" s="69">
        <f t="shared" si="8"/>
        <v>150000</v>
      </c>
    </row>
    <row r="60" ht="15.75" customHeight="1">
      <c r="A60" s="87">
        <f t="shared" si="9"/>
        <v>39</v>
      </c>
      <c r="B60" s="87" t="str">
        <f t="array" ref="B60">INDEX('Monthly Base'!$B$5:$B$67,A60+1)</f>
        <v>OPEN</v>
      </c>
      <c r="C60" s="87">
        <f t="array" ref="C60">INDEX('Monthly Base'!$C$5:$C$67,A60+1)</f>
        <v>37</v>
      </c>
      <c r="D60" s="69">
        <f t="array" ref="D60">INDEX('Monthly Base'!$O$5:$O$67,A60+1)</f>
        <v>78304.80508</v>
      </c>
      <c r="E60" s="69">
        <f t="array" ref="E60">INDEX('Monthly Base'!$Y$5:$Y$67,A60+1)</f>
        <v>0</v>
      </c>
      <c r="F60" s="69">
        <f t="shared" si="10"/>
        <v>150000</v>
      </c>
      <c r="G60" s="69">
        <f t="shared" ref="G60:H60" si="49">W59</f>
        <v>58610.85664</v>
      </c>
      <c r="H60" s="69">
        <f t="shared" si="49"/>
        <v>0</v>
      </c>
      <c r="I60" s="69">
        <f>IF(OR(A60&lt;Inputs!$B$15,G60&lt;=0),0,MIN(Financing!$B$10,G60))</f>
        <v>4000</v>
      </c>
      <c r="J60" s="69">
        <f>IF(OR(A60&lt;Inputs!$B$15,H60&lt;=0),0,H60*Inputs!$B$13/12)</f>
        <v>0</v>
      </c>
      <c r="K60" s="69">
        <f>IF(OR(A60&lt;Inputs!$B$15,H60&lt;=0),0,MIN(Financing!$C$10,H60+J60))</f>
        <v>0</v>
      </c>
      <c r="L60" s="69">
        <f t="shared" si="2"/>
        <v>4000</v>
      </c>
      <c r="M60" s="69">
        <f t="shared" si="12"/>
        <v>0</v>
      </c>
      <c r="N60" s="69">
        <f>IF(AND(Inputs!$B$84=1,B60="OPEN",Y59=0),Inputs!$B$85*(1+Inputs!$B$88)^MAX(0,ROUNDUP(C60/12,0)-1),0)</f>
        <v>0</v>
      </c>
      <c r="O60" s="69">
        <f>IF(AND(Inputs!$B$84=1,B60="OPEN",Y59=0),Inputs!$B$86*(1+Inputs!$B$88)^MAX(0,ROUNDUP(C60/12,0)-1),0)</f>
        <v>0</v>
      </c>
      <c r="P60" s="69">
        <f>(N60+O60)*(1+Inputs!$B$66)</f>
        <v>0</v>
      </c>
      <c r="Q60" s="69">
        <f>D60-J60-IF(C60=0,0,Inputs!$B$18)-P60</f>
        <v>71491.80508</v>
      </c>
      <c r="R60" s="69">
        <f>MAX(0,Q60-M60)*Inputs!$B$17</f>
        <v>16443.11517</v>
      </c>
      <c r="S60" s="69">
        <f t="shared" si="3"/>
        <v>0</v>
      </c>
      <c r="T60" s="69">
        <f t="shared" si="4"/>
        <v>207861.6899</v>
      </c>
      <c r="U60" s="69">
        <f>IF(AND(Inputs!$B$79=1,B60="OPEN",A60&gt;=Inputs!$B$82,C60&gt;=Inputs!$B$91,MOD(C60-Inputs!$B$91,Inputs!$B$90)=0),MIN(MAX(0,T60-Inputs!$B$80)*Inputs!$B$81,MAX(0,H60+J60-K60)),0)</f>
        <v>0</v>
      </c>
      <c r="V60" s="69">
        <f>IF(AND(Inputs!$B$79=1,B60="OPEN",A60&gt;=Inputs!$B$82,C60&gt;=Inputs!$B$91,MOD(C60-Inputs!$B$91,Inputs!$B$90)=0),MIN(MAX(0,MAX(0,T60-Inputs!$B$80)*Inputs!$B$81-U60),MAX(0,G60-I60)),0)</f>
        <v>0</v>
      </c>
      <c r="W60" s="69">
        <f t="shared" si="5"/>
        <v>54610.85664</v>
      </c>
      <c r="X60" s="69">
        <f t="shared" si="6"/>
        <v>0</v>
      </c>
      <c r="Y60" s="69">
        <f t="shared" si="7"/>
        <v>54610.85664</v>
      </c>
      <c r="Z60" s="69">
        <f t="shared" si="8"/>
        <v>207861.6899</v>
      </c>
    </row>
    <row r="61" ht="15.75" customHeight="1">
      <c r="A61" s="87">
        <f t="shared" si="9"/>
        <v>40</v>
      </c>
      <c r="B61" s="87" t="str">
        <f t="array" ref="B61">INDEX('Monthly Base'!$B$5:$B$67,A61+1)</f>
        <v>OPEN</v>
      </c>
      <c r="C61" s="87">
        <f t="array" ref="C61">INDEX('Monthly Base'!$C$5:$C$67,A61+1)</f>
        <v>38</v>
      </c>
      <c r="D61" s="69">
        <f t="array" ref="D61">INDEX('Monthly Base'!$O$5:$O$67,A61+1)</f>
        <v>79614.45763</v>
      </c>
      <c r="E61" s="69">
        <f t="array" ref="E61">INDEX('Monthly Base'!$Y$5:$Y$67,A61+1)</f>
        <v>0</v>
      </c>
      <c r="F61" s="69">
        <f t="shared" si="10"/>
        <v>207861.6899</v>
      </c>
      <c r="G61" s="69">
        <f t="shared" ref="G61:H61" si="50">W60</f>
        <v>54610.85664</v>
      </c>
      <c r="H61" s="69">
        <f t="shared" si="50"/>
        <v>0</v>
      </c>
      <c r="I61" s="69">
        <f>IF(OR(A61&lt;Inputs!$B$15,G61&lt;=0),0,MIN(Financing!$B$10,G61))</f>
        <v>4000</v>
      </c>
      <c r="J61" s="69">
        <f>IF(OR(A61&lt;Inputs!$B$15,H61&lt;=0),0,H61*Inputs!$B$13/12)</f>
        <v>0</v>
      </c>
      <c r="K61" s="69">
        <f>IF(OR(A61&lt;Inputs!$B$15,H61&lt;=0),0,MIN(Financing!$C$10,H61+J61))</f>
        <v>0</v>
      </c>
      <c r="L61" s="69">
        <f t="shared" si="2"/>
        <v>4000</v>
      </c>
      <c r="M61" s="69">
        <f t="shared" si="12"/>
        <v>0</v>
      </c>
      <c r="N61" s="69">
        <f>IF(AND(Inputs!$B$84=1,B61="OPEN",Y60=0),Inputs!$B$85*(1+Inputs!$B$88)^MAX(0,ROUNDUP(C61/12,0)-1),0)</f>
        <v>0</v>
      </c>
      <c r="O61" s="69">
        <f>IF(AND(Inputs!$B$84=1,B61="OPEN",Y60=0),Inputs!$B$86*(1+Inputs!$B$88)^MAX(0,ROUNDUP(C61/12,0)-1),0)</f>
        <v>0</v>
      </c>
      <c r="P61" s="69">
        <f>(N61+O61)*(1+Inputs!$B$66)</f>
        <v>0</v>
      </c>
      <c r="Q61" s="69">
        <f>D61-J61-IF(C61=0,0,Inputs!$B$18)-P61</f>
        <v>72801.45763</v>
      </c>
      <c r="R61" s="69">
        <f>MAX(0,Q61-M61)*Inputs!$B$17</f>
        <v>16744.33525</v>
      </c>
      <c r="S61" s="69">
        <f t="shared" si="3"/>
        <v>0</v>
      </c>
      <c r="T61" s="69">
        <f t="shared" si="4"/>
        <v>266731.8123</v>
      </c>
      <c r="U61" s="69">
        <f>IF(AND(Inputs!$B$79=1,B61="OPEN",A61&gt;=Inputs!$B$82,C61&gt;=Inputs!$B$91,MOD(C61-Inputs!$B$91,Inputs!$B$90)=0),MIN(MAX(0,T61-Inputs!$B$80)*Inputs!$B$81,MAX(0,H61+J61-K61)),0)</f>
        <v>0</v>
      </c>
      <c r="V61" s="69">
        <f>IF(AND(Inputs!$B$79=1,B61="OPEN",A61&gt;=Inputs!$B$82,C61&gt;=Inputs!$B$91,MOD(C61-Inputs!$B$91,Inputs!$B$90)=0),MIN(MAX(0,MAX(0,T61-Inputs!$B$80)*Inputs!$B$81-U61),MAX(0,G61-I61)),0)</f>
        <v>0</v>
      </c>
      <c r="W61" s="69">
        <f t="shared" si="5"/>
        <v>50610.85664</v>
      </c>
      <c r="X61" s="69">
        <f t="shared" si="6"/>
        <v>0</v>
      </c>
      <c r="Y61" s="69">
        <f t="shared" si="7"/>
        <v>50610.85664</v>
      </c>
      <c r="Z61" s="69">
        <f t="shared" si="8"/>
        <v>266731.8123</v>
      </c>
    </row>
    <row r="62" ht="15.75" customHeight="1">
      <c r="A62" s="87">
        <f t="shared" si="9"/>
        <v>41</v>
      </c>
      <c r="B62" s="87" t="str">
        <f t="array" ref="B62">INDEX('Monthly Base'!$B$5:$B$67,A62+1)</f>
        <v>OPEN</v>
      </c>
      <c r="C62" s="87">
        <f t="array" ref="C62">INDEX('Monthly Base'!$C$5:$C$67,A62+1)</f>
        <v>39</v>
      </c>
      <c r="D62" s="69">
        <f t="array" ref="D62">INDEX('Monthly Base'!$O$5:$O$67,A62+1)</f>
        <v>80737.01695</v>
      </c>
      <c r="E62" s="69">
        <f t="array" ref="E62">INDEX('Monthly Base'!$Y$5:$Y$67,A62+1)</f>
        <v>0</v>
      </c>
      <c r="F62" s="69">
        <f t="shared" si="10"/>
        <v>266731.8123</v>
      </c>
      <c r="G62" s="69">
        <f t="shared" ref="G62:H62" si="51">W61</f>
        <v>50610.85664</v>
      </c>
      <c r="H62" s="69">
        <f t="shared" si="51"/>
        <v>0</v>
      </c>
      <c r="I62" s="69">
        <f>IF(OR(A62&lt;Inputs!$B$15,G62&lt;=0),0,MIN(Financing!$B$10,G62))</f>
        <v>4000</v>
      </c>
      <c r="J62" s="69">
        <f>IF(OR(A62&lt;Inputs!$B$15,H62&lt;=0),0,H62*Inputs!$B$13/12)</f>
        <v>0</v>
      </c>
      <c r="K62" s="69">
        <f>IF(OR(A62&lt;Inputs!$B$15,H62&lt;=0),0,MIN(Financing!$C$10,H62+J62))</f>
        <v>0</v>
      </c>
      <c r="L62" s="69">
        <f t="shared" si="2"/>
        <v>4000</v>
      </c>
      <c r="M62" s="69">
        <f t="shared" si="12"/>
        <v>0</v>
      </c>
      <c r="N62" s="69">
        <f>IF(AND(Inputs!$B$84=1,B62="OPEN",Y61=0),Inputs!$B$85*(1+Inputs!$B$88)^MAX(0,ROUNDUP(C62/12,0)-1),0)</f>
        <v>0</v>
      </c>
      <c r="O62" s="69">
        <f>IF(AND(Inputs!$B$84=1,B62="OPEN",Y61=0),Inputs!$B$86*(1+Inputs!$B$88)^MAX(0,ROUNDUP(C62/12,0)-1),0)</f>
        <v>0</v>
      </c>
      <c r="P62" s="69">
        <f>(N62+O62)*(1+Inputs!$B$66)</f>
        <v>0</v>
      </c>
      <c r="Q62" s="69">
        <f>D62-J62-IF(C62=0,0,Inputs!$B$18)-P62</f>
        <v>73924.01695</v>
      </c>
      <c r="R62" s="69">
        <f>MAX(0,Q62-M62)*Inputs!$B$17</f>
        <v>17002.5239</v>
      </c>
      <c r="S62" s="69">
        <f t="shared" si="3"/>
        <v>0</v>
      </c>
      <c r="T62" s="69">
        <f t="shared" si="4"/>
        <v>326466.3053</v>
      </c>
      <c r="U62" s="69">
        <f>IF(AND(Inputs!$B$79=1,B62="OPEN",A62&gt;=Inputs!$B$82,C62&gt;=Inputs!$B$91,MOD(C62-Inputs!$B$91,Inputs!$B$90)=0),MIN(MAX(0,T62-Inputs!$B$80)*Inputs!$B$81,MAX(0,H62+J62-K62)),0)</f>
        <v>0</v>
      </c>
      <c r="V62" s="69">
        <f>IF(AND(Inputs!$B$79=1,B62="OPEN",A62&gt;=Inputs!$B$82,C62&gt;=Inputs!$B$91,MOD(C62-Inputs!$B$91,Inputs!$B$90)=0),MIN(MAX(0,MAX(0,T62-Inputs!$B$80)*Inputs!$B$81-U62),MAX(0,G62-I62)),0)</f>
        <v>0</v>
      </c>
      <c r="W62" s="69">
        <f t="shared" si="5"/>
        <v>46610.85664</v>
      </c>
      <c r="X62" s="69">
        <f t="shared" si="6"/>
        <v>0</v>
      </c>
      <c r="Y62" s="69">
        <f t="shared" si="7"/>
        <v>46610.85664</v>
      </c>
      <c r="Z62" s="69">
        <f t="shared" si="8"/>
        <v>326466.3053</v>
      </c>
    </row>
    <row r="63" ht="15.75" customHeight="1">
      <c r="A63" s="87">
        <f t="shared" si="9"/>
        <v>42</v>
      </c>
      <c r="B63" s="87" t="str">
        <f t="array" ref="B63">INDEX('Monthly Base'!$B$5:$B$67,A63+1)</f>
        <v>OPEN</v>
      </c>
      <c r="C63" s="87">
        <f t="array" ref="C63">INDEX('Monthly Base'!$C$5:$C$67,A63+1)</f>
        <v>40</v>
      </c>
      <c r="D63" s="69">
        <f t="array" ref="D63">INDEX('Monthly Base'!$O$5:$O$67,A63+1)</f>
        <v>81859.57627</v>
      </c>
      <c r="E63" s="69">
        <f t="array" ref="E63">INDEX('Monthly Base'!$Y$5:$Y$67,A63+1)</f>
        <v>0</v>
      </c>
      <c r="F63" s="69">
        <f t="shared" si="10"/>
        <v>326466.3053</v>
      </c>
      <c r="G63" s="69">
        <f t="shared" ref="G63:H63" si="52">W62</f>
        <v>46610.85664</v>
      </c>
      <c r="H63" s="69">
        <f t="shared" si="52"/>
        <v>0</v>
      </c>
      <c r="I63" s="69">
        <f>IF(OR(A63&lt;Inputs!$B$15,G63&lt;=0),0,MIN(Financing!$B$10,G63))</f>
        <v>4000</v>
      </c>
      <c r="J63" s="69">
        <f>IF(OR(A63&lt;Inputs!$B$15,H63&lt;=0),0,H63*Inputs!$B$13/12)</f>
        <v>0</v>
      </c>
      <c r="K63" s="69">
        <f>IF(OR(A63&lt;Inputs!$B$15,H63&lt;=0),0,MIN(Financing!$C$10,H63+J63))</f>
        <v>0</v>
      </c>
      <c r="L63" s="69">
        <f t="shared" si="2"/>
        <v>4000</v>
      </c>
      <c r="M63" s="69">
        <f t="shared" si="12"/>
        <v>0</v>
      </c>
      <c r="N63" s="69">
        <f>IF(AND(Inputs!$B$84=1,B63="OPEN",Y62=0),Inputs!$B$85*(1+Inputs!$B$88)^MAX(0,ROUNDUP(C63/12,0)-1),0)</f>
        <v>0</v>
      </c>
      <c r="O63" s="69">
        <f>IF(AND(Inputs!$B$84=1,B63="OPEN",Y62=0),Inputs!$B$86*(1+Inputs!$B$88)^MAX(0,ROUNDUP(C63/12,0)-1),0)</f>
        <v>0</v>
      </c>
      <c r="P63" s="69">
        <f>(N63+O63)*(1+Inputs!$B$66)</f>
        <v>0</v>
      </c>
      <c r="Q63" s="69">
        <f>D63-J63-IF(C63=0,0,Inputs!$B$18)-P63</f>
        <v>75046.57627</v>
      </c>
      <c r="R63" s="69">
        <f>MAX(0,Q63-M63)*Inputs!$B$17</f>
        <v>17260.71254</v>
      </c>
      <c r="S63" s="69">
        <f t="shared" si="3"/>
        <v>0</v>
      </c>
      <c r="T63" s="69">
        <f t="shared" si="4"/>
        <v>387065.1691</v>
      </c>
      <c r="U63" s="69">
        <f>IF(AND(Inputs!$B$79=1,B63="OPEN",A63&gt;=Inputs!$B$82,C63&gt;=Inputs!$B$91,MOD(C63-Inputs!$B$91,Inputs!$B$90)=0),MIN(MAX(0,T63-Inputs!$B$80)*Inputs!$B$81,MAX(0,H63+J63-K63)),0)</f>
        <v>0</v>
      </c>
      <c r="V63" s="69">
        <f>IF(AND(Inputs!$B$79=1,B63="OPEN",A63&gt;=Inputs!$B$82,C63&gt;=Inputs!$B$91,MOD(C63-Inputs!$B$91,Inputs!$B$90)=0),MIN(MAX(0,MAX(0,T63-Inputs!$B$80)*Inputs!$B$81-U63),MAX(0,G63-I63)),0)</f>
        <v>0</v>
      </c>
      <c r="W63" s="69">
        <f t="shared" si="5"/>
        <v>42610.85664</v>
      </c>
      <c r="X63" s="69">
        <f t="shared" si="6"/>
        <v>0</v>
      </c>
      <c r="Y63" s="69">
        <f t="shared" si="7"/>
        <v>42610.85664</v>
      </c>
      <c r="Z63" s="69">
        <f t="shared" si="8"/>
        <v>387065.1691</v>
      </c>
    </row>
    <row r="64" ht="15.75" customHeight="1">
      <c r="A64" s="87">
        <f t="shared" si="9"/>
        <v>43</v>
      </c>
      <c r="B64" s="87" t="str">
        <f t="array" ref="B64">INDEX('Monthly Base'!$B$5:$B$67,A64+1)</f>
        <v>OPEN</v>
      </c>
      <c r="C64" s="87">
        <f t="array" ref="C64">INDEX('Monthly Base'!$C$5:$C$67,A64+1)</f>
        <v>41</v>
      </c>
      <c r="D64" s="69">
        <f t="array" ref="D64">INDEX('Monthly Base'!$O$5:$O$67,A64+1)</f>
        <v>82982.13559</v>
      </c>
      <c r="E64" s="69">
        <f t="array" ref="E64">INDEX('Monthly Base'!$Y$5:$Y$67,A64+1)</f>
        <v>0</v>
      </c>
      <c r="F64" s="69">
        <f t="shared" si="10"/>
        <v>387065.1691</v>
      </c>
      <c r="G64" s="69">
        <f t="shared" ref="G64:H64" si="53">W63</f>
        <v>42610.85664</v>
      </c>
      <c r="H64" s="69">
        <f t="shared" si="53"/>
        <v>0</v>
      </c>
      <c r="I64" s="69">
        <f>IF(OR(A64&lt;Inputs!$B$15,G64&lt;=0),0,MIN(Financing!$B$10,G64))</f>
        <v>4000</v>
      </c>
      <c r="J64" s="69">
        <f>IF(OR(A64&lt;Inputs!$B$15,H64&lt;=0),0,H64*Inputs!$B$13/12)</f>
        <v>0</v>
      </c>
      <c r="K64" s="69">
        <f>IF(OR(A64&lt;Inputs!$B$15,H64&lt;=0),0,MIN(Financing!$C$10,H64+J64))</f>
        <v>0</v>
      </c>
      <c r="L64" s="69">
        <f t="shared" si="2"/>
        <v>4000</v>
      </c>
      <c r="M64" s="69">
        <f t="shared" si="12"/>
        <v>0</v>
      </c>
      <c r="N64" s="69">
        <f>IF(AND(Inputs!$B$84=1,B64="OPEN",Y63=0),Inputs!$B$85*(1+Inputs!$B$88)^MAX(0,ROUNDUP(C64/12,0)-1),0)</f>
        <v>0</v>
      </c>
      <c r="O64" s="69">
        <f>IF(AND(Inputs!$B$84=1,B64="OPEN",Y63=0),Inputs!$B$86*(1+Inputs!$B$88)^MAX(0,ROUNDUP(C64/12,0)-1),0)</f>
        <v>0</v>
      </c>
      <c r="P64" s="69">
        <f>(N64+O64)*(1+Inputs!$B$66)</f>
        <v>0</v>
      </c>
      <c r="Q64" s="69">
        <f>D64-J64-IF(C64=0,0,Inputs!$B$18)-P64</f>
        <v>76169.13559</v>
      </c>
      <c r="R64" s="69">
        <f>MAX(0,Q64-M64)*Inputs!$B$17</f>
        <v>17518.90119</v>
      </c>
      <c r="S64" s="69">
        <f t="shared" si="3"/>
        <v>0</v>
      </c>
      <c r="T64" s="69">
        <f t="shared" si="4"/>
        <v>448528.4035</v>
      </c>
      <c r="U64" s="69">
        <f>IF(AND(Inputs!$B$79=1,B64="OPEN",A64&gt;=Inputs!$B$82,C64&gt;=Inputs!$B$91,MOD(C64-Inputs!$B$91,Inputs!$B$90)=0),MIN(MAX(0,T64-Inputs!$B$80)*Inputs!$B$81,MAX(0,H64+J64-K64)),0)</f>
        <v>0</v>
      </c>
      <c r="V64" s="69">
        <f>IF(AND(Inputs!$B$79=1,B64="OPEN",A64&gt;=Inputs!$B$82,C64&gt;=Inputs!$B$91,MOD(C64-Inputs!$B$91,Inputs!$B$90)=0),MIN(MAX(0,MAX(0,T64-Inputs!$B$80)*Inputs!$B$81-U64),MAX(0,G64-I64)),0)</f>
        <v>0</v>
      </c>
      <c r="W64" s="69">
        <f t="shared" si="5"/>
        <v>38610.85664</v>
      </c>
      <c r="X64" s="69">
        <f t="shared" si="6"/>
        <v>0</v>
      </c>
      <c r="Y64" s="69">
        <f t="shared" si="7"/>
        <v>38610.85664</v>
      </c>
      <c r="Z64" s="69">
        <f t="shared" si="8"/>
        <v>448528.4035</v>
      </c>
    </row>
    <row r="65" ht="15.75" customHeight="1">
      <c r="A65" s="87">
        <f t="shared" si="9"/>
        <v>44</v>
      </c>
      <c r="B65" s="87" t="str">
        <f t="array" ref="B65">INDEX('Monthly Base'!$B$5:$B$67,A65+1)</f>
        <v>OPEN</v>
      </c>
      <c r="C65" s="87">
        <f t="array" ref="C65">INDEX('Monthly Base'!$C$5:$C$67,A65+1)</f>
        <v>42</v>
      </c>
      <c r="D65" s="69">
        <f t="array" ref="D65">INDEX('Monthly Base'!$O$5:$O$67,A65+1)</f>
        <v>84291.78814</v>
      </c>
      <c r="E65" s="69">
        <f t="array" ref="E65">INDEX('Monthly Base'!$Y$5:$Y$67,A65+1)</f>
        <v>0</v>
      </c>
      <c r="F65" s="69">
        <f t="shared" si="10"/>
        <v>448528.4035</v>
      </c>
      <c r="G65" s="69">
        <f t="shared" ref="G65:H65" si="54">W64</f>
        <v>38610.85664</v>
      </c>
      <c r="H65" s="69">
        <f t="shared" si="54"/>
        <v>0</v>
      </c>
      <c r="I65" s="69">
        <f>IF(OR(A65&lt;Inputs!$B$15,G65&lt;=0),0,MIN(Financing!$B$10,G65))</f>
        <v>4000</v>
      </c>
      <c r="J65" s="69">
        <f>IF(OR(A65&lt;Inputs!$B$15,H65&lt;=0),0,H65*Inputs!$B$13/12)</f>
        <v>0</v>
      </c>
      <c r="K65" s="69">
        <f>IF(OR(A65&lt;Inputs!$B$15,H65&lt;=0),0,MIN(Financing!$C$10,H65+J65))</f>
        <v>0</v>
      </c>
      <c r="L65" s="69">
        <f t="shared" si="2"/>
        <v>4000</v>
      </c>
      <c r="M65" s="69">
        <f t="shared" si="12"/>
        <v>0</v>
      </c>
      <c r="N65" s="69">
        <f>IF(AND(Inputs!$B$84=1,B65="OPEN",Y64=0),Inputs!$B$85*(1+Inputs!$B$88)^MAX(0,ROUNDUP(C65/12,0)-1),0)</f>
        <v>0</v>
      </c>
      <c r="O65" s="69">
        <f>IF(AND(Inputs!$B$84=1,B65="OPEN",Y64=0),Inputs!$B$86*(1+Inputs!$B$88)^MAX(0,ROUNDUP(C65/12,0)-1),0)</f>
        <v>0</v>
      </c>
      <c r="P65" s="69">
        <f>(N65+O65)*(1+Inputs!$B$66)</f>
        <v>0</v>
      </c>
      <c r="Q65" s="69">
        <f>D65-J65-IF(C65=0,0,Inputs!$B$18)-P65</f>
        <v>77478.78814</v>
      </c>
      <c r="R65" s="69">
        <f>MAX(0,Q65-M65)*Inputs!$B$17</f>
        <v>17820.12127</v>
      </c>
      <c r="S65" s="69">
        <f t="shared" si="3"/>
        <v>0</v>
      </c>
      <c r="T65" s="69">
        <f t="shared" si="4"/>
        <v>511000.0703</v>
      </c>
      <c r="U65" s="69">
        <f>IF(AND(Inputs!$B$79=1,B65="OPEN",A65&gt;=Inputs!$B$82,C65&gt;=Inputs!$B$91,MOD(C65-Inputs!$B$91,Inputs!$B$90)=0),MIN(MAX(0,T65-Inputs!$B$80)*Inputs!$B$81,MAX(0,H65+J65-K65)),0)</f>
        <v>0</v>
      </c>
      <c r="V65" s="69">
        <f>IF(AND(Inputs!$B$79=1,B65="OPEN",A65&gt;=Inputs!$B$82,C65&gt;=Inputs!$B$91,MOD(C65-Inputs!$B$91,Inputs!$B$90)=0),MIN(MAX(0,MAX(0,T65-Inputs!$B$80)*Inputs!$B$81-U65),MAX(0,G65-I65)),0)</f>
        <v>34610.85664</v>
      </c>
      <c r="W65" s="69">
        <f t="shared" si="5"/>
        <v>0</v>
      </c>
      <c r="X65" s="69">
        <f t="shared" si="6"/>
        <v>0</v>
      </c>
      <c r="Y65" s="69">
        <f t="shared" si="7"/>
        <v>0</v>
      </c>
      <c r="Z65" s="69">
        <f t="shared" si="8"/>
        <v>476389.2137</v>
      </c>
    </row>
    <row r="66" ht="15.75" customHeight="1">
      <c r="A66" s="87">
        <f t="shared" si="9"/>
        <v>45</v>
      </c>
      <c r="B66" s="87" t="str">
        <f t="array" ref="B66">INDEX('Monthly Base'!$B$5:$B$67,A66+1)</f>
        <v>OPEN</v>
      </c>
      <c r="C66" s="87">
        <f t="array" ref="C66">INDEX('Monthly Base'!$C$5:$C$67,A66+1)</f>
        <v>43</v>
      </c>
      <c r="D66" s="69">
        <f t="array" ref="D66">INDEX('Monthly Base'!$O$5:$O$67,A66+1)</f>
        <v>85414.34746</v>
      </c>
      <c r="E66" s="69">
        <f t="array" ref="E66">INDEX('Monthly Base'!$Y$5:$Y$67,A66+1)</f>
        <v>0</v>
      </c>
      <c r="F66" s="69">
        <f t="shared" si="10"/>
        <v>476389.2137</v>
      </c>
      <c r="G66" s="69">
        <f t="shared" ref="G66:H66" si="55">W65</f>
        <v>0</v>
      </c>
      <c r="H66" s="69">
        <f t="shared" si="55"/>
        <v>0</v>
      </c>
      <c r="I66" s="69">
        <f>IF(OR(A66&lt;Inputs!$B$15,G66&lt;=0),0,MIN(Financing!$B$10,G66))</f>
        <v>0</v>
      </c>
      <c r="J66" s="69">
        <f>IF(OR(A66&lt;Inputs!$B$15,H66&lt;=0),0,H66*Inputs!$B$13/12)</f>
        <v>0</v>
      </c>
      <c r="K66" s="69">
        <f>IF(OR(A66&lt;Inputs!$B$15,H66&lt;=0),0,MIN(Financing!$C$10,H66+J66))</f>
        <v>0</v>
      </c>
      <c r="L66" s="69">
        <f t="shared" si="2"/>
        <v>0</v>
      </c>
      <c r="M66" s="69">
        <f t="shared" si="12"/>
        <v>0</v>
      </c>
      <c r="N66" s="69">
        <f>IF(AND(Inputs!$B$84=1,B66="OPEN",Y65=0),Inputs!$B$85*(1+Inputs!$B$88)^MAX(0,ROUNDUP(C66/12,0)-1),0)</f>
        <v>0</v>
      </c>
      <c r="O66" s="69">
        <f>IF(AND(Inputs!$B$84=1,B66="OPEN",Y65=0),Inputs!$B$86*(1+Inputs!$B$88)^MAX(0,ROUNDUP(C66/12,0)-1),0)</f>
        <v>0</v>
      </c>
      <c r="P66" s="69">
        <f>(N66+O66)*(1+Inputs!$B$66)</f>
        <v>0</v>
      </c>
      <c r="Q66" s="69">
        <f>D66-J66-IF(C66=0,0,Inputs!$B$18)-P66</f>
        <v>78601.34746</v>
      </c>
      <c r="R66" s="69">
        <f>MAX(0,Q66-M66)*Inputs!$B$17</f>
        <v>18078.30992</v>
      </c>
      <c r="S66" s="69">
        <f t="shared" si="3"/>
        <v>0</v>
      </c>
      <c r="T66" s="69">
        <f t="shared" si="4"/>
        <v>543725.2512</v>
      </c>
      <c r="U66" s="69">
        <f>IF(AND(Inputs!$B$79=1,B66="OPEN",A66&gt;=Inputs!$B$82,C66&gt;=Inputs!$B$91,MOD(C66-Inputs!$B$91,Inputs!$B$90)=0),MIN(MAX(0,T66-Inputs!$B$80)*Inputs!$B$81,MAX(0,H66+J66-K66)),0)</f>
        <v>0</v>
      </c>
      <c r="V66" s="69">
        <f>IF(AND(Inputs!$B$79=1,B66="OPEN",A66&gt;=Inputs!$B$82,C66&gt;=Inputs!$B$91,MOD(C66-Inputs!$B$91,Inputs!$B$90)=0),MIN(MAX(0,MAX(0,T66-Inputs!$B$80)*Inputs!$B$81-U66),MAX(0,G66-I66)),0)</f>
        <v>0</v>
      </c>
      <c r="W66" s="69">
        <f t="shared" si="5"/>
        <v>0</v>
      </c>
      <c r="X66" s="69">
        <f t="shared" si="6"/>
        <v>0</v>
      </c>
      <c r="Y66" s="69">
        <f t="shared" si="7"/>
        <v>0</v>
      </c>
      <c r="Z66" s="69">
        <f t="shared" si="8"/>
        <v>543725.2512</v>
      </c>
    </row>
    <row r="67" ht="15.75" customHeight="1">
      <c r="A67" s="87">
        <f t="shared" si="9"/>
        <v>46</v>
      </c>
      <c r="B67" s="87" t="str">
        <f t="array" ref="B67">INDEX('Monthly Base'!$B$5:$B$67,A67+1)</f>
        <v>OPEN</v>
      </c>
      <c r="C67" s="87">
        <f t="array" ref="C67">INDEX('Monthly Base'!$C$5:$C$67,A67+1)</f>
        <v>44</v>
      </c>
      <c r="D67" s="69">
        <f t="array" ref="D67">INDEX('Monthly Base'!$O$5:$O$67,A67+1)</f>
        <v>86536.90678</v>
      </c>
      <c r="E67" s="69">
        <f t="array" ref="E67">INDEX('Monthly Base'!$Y$5:$Y$67,A67+1)</f>
        <v>0</v>
      </c>
      <c r="F67" s="69">
        <f t="shared" si="10"/>
        <v>543725.2512</v>
      </c>
      <c r="G67" s="69">
        <f t="shared" ref="G67:H67" si="56">W66</f>
        <v>0</v>
      </c>
      <c r="H67" s="69">
        <f t="shared" si="56"/>
        <v>0</v>
      </c>
      <c r="I67" s="69">
        <f>IF(OR(A67&lt;Inputs!$B$15,G67&lt;=0),0,MIN(Financing!$B$10,G67))</f>
        <v>0</v>
      </c>
      <c r="J67" s="69">
        <f>IF(OR(A67&lt;Inputs!$B$15,H67&lt;=0),0,H67*Inputs!$B$13/12)</f>
        <v>0</v>
      </c>
      <c r="K67" s="69">
        <f>IF(OR(A67&lt;Inputs!$B$15,H67&lt;=0),0,MIN(Financing!$C$10,H67+J67))</f>
        <v>0</v>
      </c>
      <c r="L67" s="69">
        <f t="shared" si="2"/>
        <v>0</v>
      </c>
      <c r="M67" s="69">
        <f t="shared" si="12"/>
        <v>0</v>
      </c>
      <c r="N67" s="69">
        <f>IF(AND(Inputs!$B$84=1,B67="OPEN",Y66=0),Inputs!$B$85*(1+Inputs!$B$88)^MAX(0,ROUNDUP(C67/12,0)-1),0)</f>
        <v>0</v>
      </c>
      <c r="O67" s="69">
        <f>IF(AND(Inputs!$B$84=1,B67="OPEN",Y66=0),Inputs!$B$86*(1+Inputs!$B$88)^MAX(0,ROUNDUP(C67/12,0)-1),0)</f>
        <v>0</v>
      </c>
      <c r="P67" s="69">
        <f>(N67+O67)*(1+Inputs!$B$66)</f>
        <v>0</v>
      </c>
      <c r="Q67" s="69">
        <f>D67-J67-IF(C67=0,0,Inputs!$B$18)-P67</f>
        <v>79723.90678</v>
      </c>
      <c r="R67" s="69">
        <f>MAX(0,Q67-M67)*Inputs!$B$17</f>
        <v>18336.49856</v>
      </c>
      <c r="S67" s="69">
        <f t="shared" si="3"/>
        <v>0</v>
      </c>
      <c r="T67" s="69">
        <f t="shared" si="4"/>
        <v>611925.6595</v>
      </c>
      <c r="U67" s="69">
        <f>IF(AND(Inputs!$B$79=1,B67="OPEN",A67&gt;=Inputs!$B$82,C67&gt;=Inputs!$B$91,MOD(C67-Inputs!$B$91,Inputs!$B$90)=0),MIN(MAX(0,T67-Inputs!$B$80)*Inputs!$B$81,MAX(0,H67+J67-K67)),0)</f>
        <v>0</v>
      </c>
      <c r="V67" s="69">
        <f>IF(AND(Inputs!$B$79=1,B67="OPEN",A67&gt;=Inputs!$B$82,C67&gt;=Inputs!$B$91,MOD(C67-Inputs!$B$91,Inputs!$B$90)=0),MIN(MAX(0,MAX(0,T67-Inputs!$B$80)*Inputs!$B$81-U67),MAX(0,G67-I67)),0)</f>
        <v>0</v>
      </c>
      <c r="W67" s="69">
        <f t="shared" si="5"/>
        <v>0</v>
      </c>
      <c r="X67" s="69">
        <f t="shared" si="6"/>
        <v>0</v>
      </c>
      <c r="Y67" s="69">
        <f t="shared" si="7"/>
        <v>0</v>
      </c>
      <c r="Z67" s="69">
        <f t="shared" si="8"/>
        <v>611925.6595</v>
      </c>
    </row>
    <row r="68" ht="15.75" customHeight="1">
      <c r="A68" s="87">
        <f t="shared" si="9"/>
        <v>47</v>
      </c>
      <c r="B68" s="87" t="str">
        <f t="array" ref="B68">INDEX('Monthly Base'!$B$5:$B$67,A68+1)</f>
        <v>OPEN</v>
      </c>
      <c r="C68" s="87">
        <f t="array" ref="C68">INDEX('Monthly Base'!$C$5:$C$67,A68+1)</f>
        <v>45</v>
      </c>
      <c r="D68" s="69">
        <f t="array" ref="D68">INDEX('Monthly Base'!$O$5:$O$67,A68+1)</f>
        <v>87659.4661</v>
      </c>
      <c r="E68" s="69">
        <f t="array" ref="E68">INDEX('Monthly Base'!$Y$5:$Y$67,A68+1)</f>
        <v>0</v>
      </c>
      <c r="F68" s="69">
        <f t="shared" si="10"/>
        <v>611925.6595</v>
      </c>
      <c r="G68" s="69">
        <f t="shared" ref="G68:H68" si="57">W67</f>
        <v>0</v>
      </c>
      <c r="H68" s="69">
        <f t="shared" si="57"/>
        <v>0</v>
      </c>
      <c r="I68" s="69">
        <f>IF(OR(A68&lt;Inputs!$B$15,G68&lt;=0),0,MIN(Financing!$B$10,G68))</f>
        <v>0</v>
      </c>
      <c r="J68" s="69">
        <f>IF(OR(A68&lt;Inputs!$B$15,H68&lt;=0),0,H68*Inputs!$B$13/12)</f>
        <v>0</v>
      </c>
      <c r="K68" s="69">
        <f>IF(OR(A68&lt;Inputs!$B$15,H68&lt;=0),0,MIN(Financing!$C$10,H68+J68))</f>
        <v>0</v>
      </c>
      <c r="L68" s="69">
        <f t="shared" si="2"/>
        <v>0</v>
      </c>
      <c r="M68" s="69">
        <f t="shared" si="12"/>
        <v>0</v>
      </c>
      <c r="N68" s="69">
        <f>IF(AND(Inputs!$B$84=1,B68="OPEN",Y67=0),Inputs!$B$85*(1+Inputs!$B$88)^MAX(0,ROUNDUP(C68/12,0)-1),0)</f>
        <v>0</v>
      </c>
      <c r="O68" s="69">
        <f>IF(AND(Inputs!$B$84=1,B68="OPEN",Y67=0),Inputs!$B$86*(1+Inputs!$B$88)^MAX(0,ROUNDUP(C68/12,0)-1),0)</f>
        <v>0</v>
      </c>
      <c r="P68" s="69">
        <f>(N68+O68)*(1+Inputs!$B$66)</f>
        <v>0</v>
      </c>
      <c r="Q68" s="69">
        <f>D68-J68-IF(C68=0,0,Inputs!$B$18)-P68</f>
        <v>80846.4661</v>
      </c>
      <c r="R68" s="69">
        <f>MAX(0,Q68-M68)*Inputs!$B$17</f>
        <v>18594.6872</v>
      </c>
      <c r="S68" s="69">
        <f t="shared" si="3"/>
        <v>0</v>
      </c>
      <c r="T68" s="69">
        <f t="shared" si="4"/>
        <v>680990.4384</v>
      </c>
      <c r="U68" s="69">
        <f>IF(AND(Inputs!$B$79=1,B68="OPEN",A68&gt;=Inputs!$B$82,C68&gt;=Inputs!$B$91,MOD(C68-Inputs!$B$91,Inputs!$B$90)=0),MIN(MAX(0,T68-Inputs!$B$80)*Inputs!$B$81,MAX(0,H68+J68-K68)),0)</f>
        <v>0</v>
      </c>
      <c r="V68" s="69">
        <f>IF(AND(Inputs!$B$79=1,B68="OPEN",A68&gt;=Inputs!$B$82,C68&gt;=Inputs!$B$91,MOD(C68-Inputs!$B$91,Inputs!$B$90)=0),MIN(MAX(0,MAX(0,T68-Inputs!$B$80)*Inputs!$B$81-U68),MAX(0,G68-I68)),0)</f>
        <v>0</v>
      </c>
      <c r="W68" s="69">
        <f t="shared" si="5"/>
        <v>0</v>
      </c>
      <c r="X68" s="69">
        <f t="shared" si="6"/>
        <v>0</v>
      </c>
      <c r="Y68" s="69">
        <f t="shared" si="7"/>
        <v>0</v>
      </c>
      <c r="Z68" s="69">
        <f t="shared" si="8"/>
        <v>680990.4384</v>
      </c>
    </row>
    <row r="69" ht="15.75" customHeight="1">
      <c r="A69" s="87">
        <f t="shared" si="9"/>
        <v>48</v>
      </c>
      <c r="B69" s="87" t="str">
        <f t="array" ref="B69">INDEX('Monthly Base'!$B$5:$B$67,A69+1)</f>
        <v>OPEN</v>
      </c>
      <c r="C69" s="87">
        <f t="array" ref="C69">INDEX('Monthly Base'!$C$5:$C$67,A69+1)</f>
        <v>46</v>
      </c>
      <c r="D69" s="69">
        <f t="array" ref="D69">INDEX('Monthly Base'!$O$5:$O$67,A69+1)</f>
        <v>88969.11864</v>
      </c>
      <c r="E69" s="69">
        <f t="array" ref="E69">INDEX('Monthly Base'!$Y$5:$Y$67,A69+1)</f>
        <v>0</v>
      </c>
      <c r="F69" s="69">
        <f t="shared" si="10"/>
        <v>680990.4384</v>
      </c>
      <c r="G69" s="69">
        <f t="shared" ref="G69:H69" si="58">W68</f>
        <v>0</v>
      </c>
      <c r="H69" s="69">
        <f t="shared" si="58"/>
        <v>0</v>
      </c>
      <c r="I69" s="69">
        <f>IF(OR(A69&lt;Inputs!$B$15,G69&lt;=0),0,MIN(Financing!$B$10,G69))</f>
        <v>0</v>
      </c>
      <c r="J69" s="69">
        <f>IF(OR(A69&lt;Inputs!$B$15,H69&lt;=0),0,H69*Inputs!$B$13/12)</f>
        <v>0</v>
      </c>
      <c r="K69" s="69">
        <f>IF(OR(A69&lt;Inputs!$B$15,H69&lt;=0),0,MIN(Financing!$C$10,H69+J69))</f>
        <v>0</v>
      </c>
      <c r="L69" s="69">
        <f t="shared" si="2"/>
        <v>0</v>
      </c>
      <c r="M69" s="69">
        <f t="shared" si="12"/>
        <v>0</v>
      </c>
      <c r="N69" s="69">
        <f>IF(AND(Inputs!$B$84=1,B69="OPEN",Y68=0),Inputs!$B$85*(1+Inputs!$B$88)^MAX(0,ROUNDUP(C69/12,0)-1),0)</f>
        <v>0</v>
      </c>
      <c r="O69" s="69">
        <f>IF(AND(Inputs!$B$84=1,B69="OPEN",Y68=0),Inputs!$B$86*(1+Inputs!$B$88)^MAX(0,ROUNDUP(C69/12,0)-1),0)</f>
        <v>0</v>
      </c>
      <c r="P69" s="69">
        <f>(N69+O69)*(1+Inputs!$B$66)</f>
        <v>0</v>
      </c>
      <c r="Q69" s="69">
        <f>D69-J69-IF(C69=0,0,Inputs!$B$18)-P69</f>
        <v>82156.11864</v>
      </c>
      <c r="R69" s="69">
        <f>MAX(0,Q69-M69)*Inputs!$B$17</f>
        <v>18895.90729</v>
      </c>
      <c r="S69" s="69">
        <f t="shared" si="3"/>
        <v>0</v>
      </c>
      <c r="T69" s="69">
        <f t="shared" si="4"/>
        <v>751063.6497</v>
      </c>
      <c r="U69" s="69">
        <f>IF(AND(Inputs!$B$79=1,B69="OPEN",A69&gt;=Inputs!$B$82,C69&gt;=Inputs!$B$91,MOD(C69-Inputs!$B$91,Inputs!$B$90)=0),MIN(MAX(0,T69-Inputs!$B$80)*Inputs!$B$81,MAX(0,H69+J69-K69)),0)</f>
        <v>0</v>
      </c>
      <c r="V69" s="69">
        <f>IF(AND(Inputs!$B$79=1,B69="OPEN",A69&gt;=Inputs!$B$82,C69&gt;=Inputs!$B$91,MOD(C69-Inputs!$B$91,Inputs!$B$90)=0),MIN(MAX(0,MAX(0,T69-Inputs!$B$80)*Inputs!$B$81-U69),MAX(0,G69-I69)),0)</f>
        <v>0</v>
      </c>
      <c r="W69" s="69">
        <f t="shared" si="5"/>
        <v>0</v>
      </c>
      <c r="X69" s="69">
        <f t="shared" si="6"/>
        <v>0</v>
      </c>
      <c r="Y69" s="69">
        <f t="shared" si="7"/>
        <v>0</v>
      </c>
      <c r="Z69" s="69">
        <f t="shared" si="8"/>
        <v>751063.6497</v>
      </c>
    </row>
    <row r="70" ht="15.75" customHeight="1">
      <c r="A70" s="87">
        <f t="shared" si="9"/>
        <v>49</v>
      </c>
      <c r="B70" s="87" t="str">
        <f t="array" ref="B70">INDEX('Monthly Base'!$B$5:$B$67,A70+1)</f>
        <v>OPEN</v>
      </c>
      <c r="C70" s="87">
        <f t="array" ref="C70">INDEX('Monthly Base'!$C$5:$C$67,A70+1)</f>
        <v>47</v>
      </c>
      <c r="D70" s="69">
        <f t="array" ref="D70">INDEX('Monthly Base'!$O$5:$O$67,A70+1)</f>
        <v>90091.67797</v>
      </c>
      <c r="E70" s="69">
        <f t="array" ref="E70">INDEX('Monthly Base'!$Y$5:$Y$67,A70+1)</f>
        <v>0</v>
      </c>
      <c r="F70" s="69">
        <f t="shared" si="10"/>
        <v>751063.6497</v>
      </c>
      <c r="G70" s="69">
        <f t="shared" ref="G70:H70" si="59">W69</f>
        <v>0</v>
      </c>
      <c r="H70" s="69">
        <f t="shared" si="59"/>
        <v>0</v>
      </c>
      <c r="I70" s="69">
        <f>IF(OR(A70&lt;Inputs!$B$15,G70&lt;=0),0,MIN(Financing!$B$10,G70))</f>
        <v>0</v>
      </c>
      <c r="J70" s="69">
        <f>IF(OR(A70&lt;Inputs!$B$15,H70&lt;=0),0,H70*Inputs!$B$13/12)</f>
        <v>0</v>
      </c>
      <c r="K70" s="69">
        <f>IF(OR(A70&lt;Inputs!$B$15,H70&lt;=0),0,MIN(Financing!$C$10,H70+J70))</f>
        <v>0</v>
      </c>
      <c r="L70" s="69">
        <f t="shared" si="2"/>
        <v>0</v>
      </c>
      <c r="M70" s="69">
        <f t="shared" si="12"/>
        <v>0</v>
      </c>
      <c r="N70" s="69">
        <f>IF(AND(Inputs!$B$84=1,B70="OPEN",Y69=0),Inputs!$B$85*(1+Inputs!$B$88)^MAX(0,ROUNDUP(C70/12,0)-1),0)</f>
        <v>0</v>
      </c>
      <c r="O70" s="69">
        <f>IF(AND(Inputs!$B$84=1,B70="OPEN",Y69=0),Inputs!$B$86*(1+Inputs!$B$88)^MAX(0,ROUNDUP(C70/12,0)-1),0)</f>
        <v>0</v>
      </c>
      <c r="P70" s="69">
        <f>(N70+O70)*(1+Inputs!$B$66)</f>
        <v>0</v>
      </c>
      <c r="Q70" s="69">
        <f>D70-J70-IF(C70=0,0,Inputs!$B$18)-P70</f>
        <v>83278.67797</v>
      </c>
      <c r="R70" s="69">
        <f>MAX(0,Q70-M70)*Inputs!$B$17</f>
        <v>19154.09593</v>
      </c>
      <c r="S70" s="69">
        <f t="shared" si="3"/>
        <v>0</v>
      </c>
      <c r="T70" s="69">
        <f t="shared" si="4"/>
        <v>822001.2317</v>
      </c>
      <c r="U70" s="69">
        <f>IF(AND(Inputs!$B$79=1,B70="OPEN",A70&gt;=Inputs!$B$82,C70&gt;=Inputs!$B$91,MOD(C70-Inputs!$B$91,Inputs!$B$90)=0),MIN(MAX(0,T70-Inputs!$B$80)*Inputs!$B$81,MAX(0,H70+J70-K70)),0)</f>
        <v>0</v>
      </c>
      <c r="V70" s="69">
        <f>IF(AND(Inputs!$B$79=1,B70="OPEN",A70&gt;=Inputs!$B$82,C70&gt;=Inputs!$B$91,MOD(C70-Inputs!$B$91,Inputs!$B$90)=0),MIN(MAX(0,MAX(0,T70-Inputs!$B$80)*Inputs!$B$81-U70),MAX(0,G70-I70)),0)</f>
        <v>0</v>
      </c>
      <c r="W70" s="69">
        <f t="shared" si="5"/>
        <v>0</v>
      </c>
      <c r="X70" s="69">
        <f t="shared" si="6"/>
        <v>0</v>
      </c>
      <c r="Y70" s="69">
        <f t="shared" si="7"/>
        <v>0</v>
      </c>
      <c r="Z70" s="69">
        <f t="shared" si="8"/>
        <v>822001.2317</v>
      </c>
    </row>
    <row r="71" ht="15.75" customHeight="1">
      <c r="A71" s="87">
        <f t="shared" si="9"/>
        <v>50</v>
      </c>
      <c r="B71" s="87" t="str">
        <f t="array" ref="B71">INDEX('Monthly Base'!$B$5:$B$67,A71+1)</f>
        <v>OPEN</v>
      </c>
      <c r="C71" s="87">
        <f t="array" ref="C71">INDEX('Monthly Base'!$C$5:$C$67,A71+1)</f>
        <v>48</v>
      </c>
      <c r="D71" s="69">
        <f t="array" ref="D71">INDEX('Monthly Base'!$O$5:$O$67,A71+1)</f>
        <v>91214.23729</v>
      </c>
      <c r="E71" s="69">
        <f t="array" ref="E71">INDEX('Monthly Base'!$Y$5:$Y$67,A71+1)</f>
        <v>0</v>
      </c>
      <c r="F71" s="69">
        <f t="shared" si="10"/>
        <v>822001.2317</v>
      </c>
      <c r="G71" s="69">
        <f t="shared" ref="G71:H71" si="60">W70</f>
        <v>0</v>
      </c>
      <c r="H71" s="69">
        <f t="shared" si="60"/>
        <v>0</v>
      </c>
      <c r="I71" s="69">
        <f>IF(OR(A71&lt;Inputs!$B$15,G71&lt;=0),0,MIN(Financing!$B$10,G71))</f>
        <v>0</v>
      </c>
      <c r="J71" s="69">
        <f>IF(OR(A71&lt;Inputs!$B$15,H71&lt;=0),0,H71*Inputs!$B$13/12)</f>
        <v>0</v>
      </c>
      <c r="K71" s="69">
        <f>IF(OR(A71&lt;Inputs!$B$15,H71&lt;=0),0,MIN(Financing!$C$10,H71+J71))</f>
        <v>0</v>
      </c>
      <c r="L71" s="69">
        <f t="shared" si="2"/>
        <v>0</v>
      </c>
      <c r="M71" s="69">
        <f t="shared" si="12"/>
        <v>0</v>
      </c>
      <c r="N71" s="69">
        <f>IF(AND(Inputs!$B$84=1,B71="OPEN",Y70=0),Inputs!$B$85*(1+Inputs!$B$88)^MAX(0,ROUNDUP(C71/12,0)-1),0)</f>
        <v>0</v>
      </c>
      <c r="O71" s="69">
        <f>IF(AND(Inputs!$B$84=1,B71="OPEN",Y70=0),Inputs!$B$86*(1+Inputs!$B$88)^MAX(0,ROUNDUP(C71/12,0)-1),0)</f>
        <v>0</v>
      </c>
      <c r="P71" s="69">
        <f>(N71+O71)*(1+Inputs!$B$66)</f>
        <v>0</v>
      </c>
      <c r="Q71" s="69">
        <f>D71-J71-IF(C71=0,0,Inputs!$B$18)-P71</f>
        <v>84401.23729</v>
      </c>
      <c r="R71" s="69">
        <f>MAX(0,Q71-M71)*Inputs!$B$17</f>
        <v>19412.28458</v>
      </c>
      <c r="S71" s="69">
        <f t="shared" si="3"/>
        <v>0</v>
      </c>
      <c r="T71" s="69">
        <f t="shared" si="4"/>
        <v>893803.1845</v>
      </c>
      <c r="U71" s="69">
        <f>IF(AND(Inputs!$B$79=1,B71="OPEN",A71&gt;=Inputs!$B$82,C71&gt;=Inputs!$B$91,MOD(C71-Inputs!$B$91,Inputs!$B$90)=0),MIN(MAX(0,T71-Inputs!$B$80)*Inputs!$B$81,MAX(0,H71+J71-K71)),0)</f>
        <v>0</v>
      </c>
      <c r="V71" s="69">
        <f>IF(AND(Inputs!$B$79=1,B71="OPEN",A71&gt;=Inputs!$B$82,C71&gt;=Inputs!$B$91,MOD(C71-Inputs!$B$91,Inputs!$B$90)=0),MIN(MAX(0,MAX(0,T71-Inputs!$B$80)*Inputs!$B$81-U71),MAX(0,G71-I71)),0)</f>
        <v>0</v>
      </c>
      <c r="W71" s="69">
        <f t="shared" si="5"/>
        <v>0</v>
      </c>
      <c r="X71" s="69">
        <f t="shared" si="6"/>
        <v>0</v>
      </c>
      <c r="Y71" s="69">
        <f t="shared" si="7"/>
        <v>0</v>
      </c>
      <c r="Z71" s="69">
        <f t="shared" si="8"/>
        <v>893803.1845</v>
      </c>
    </row>
    <row r="72" ht="15.75" customHeight="1">
      <c r="A72" s="87">
        <f t="shared" si="9"/>
        <v>51</v>
      </c>
      <c r="B72" s="87" t="str">
        <f t="array" ref="B72">INDEX('Monthly Base'!$B$5:$B$67,A72+1)</f>
        <v>OPEN</v>
      </c>
      <c r="C72" s="87">
        <f t="array" ref="C72">INDEX('Monthly Base'!$C$5:$C$67,A72+1)</f>
        <v>49</v>
      </c>
      <c r="D72" s="69">
        <f t="array" ref="D72">INDEX('Monthly Base'!$O$5:$O$67,A72+1)</f>
        <v>91962.61017</v>
      </c>
      <c r="E72" s="69">
        <f t="array" ref="E72">INDEX('Monthly Base'!$Y$5:$Y$67,A72+1)</f>
        <v>0</v>
      </c>
      <c r="F72" s="69">
        <f t="shared" si="10"/>
        <v>893803.1845</v>
      </c>
      <c r="G72" s="69">
        <f t="shared" ref="G72:H72" si="61">W71</f>
        <v>0</v>
      </c>
      <c r="H72" s="69">
        <f t="shared" si="61"/>
        <v>0</v>
      </c>
      <c r="I72" s="69">
        <f>IF(OR(A72&lt;Inputs!$B$15,G72&lt;=0),0,MIN(Financing!$B$10,G72))</f>
        <v>0</v>
      </c>
      <c r="J72" s="69">
        <f>IF(OR(A72&lt;Inputs!$B$15,H72&lt;=0),0,H72*Inputs!$B$13/12)</f>
        <v>0</v>
      </c>
      <c r="K72" s="69">
        <f>IF(OR(A72&lt;Inputs!$B$15,H72&lt;=0),0,MIN(Financing!$C$10,H72+J72))</f>
        <v>0</v>
      </c>
      <c r="L72" s="69">
        <f t="shared" si="2"/>
        <v>0</v>
      </c>
      <c r="M72" s="69">
        <f t="shared" si="12"/>
        <v>0</v>
      </c>
      <c r="N72" s="69">
        <f>IF(AND(Inputs!$B$84=1,B72="OPEN",Y71=0),Inputs!$B$85*(1+Inputs!$B$88)^MAX(0,ROUNDUP(C72/12,0)-1),0)</f>
        <v>0</v>
      </c>
      <c r="O72" s="69">
        <f>IF(AND(Inputs!$B$84=1,B72="OPEN",Y71=0),Inputs!$B$86*(1+Inputs!$B$88)^MAX(0,ROUNDUP(C72/12,0)-1),0)</f>
        <v>0</v>
      </c>
      <c r="P72" s="69">
        <f>(N72+O72)*(1+Inputs!$B$66)</f>
        <v>0</v>
      </c>
      <c r="Q72" s="69">
        <f>D72-J72-IF(C72=0,0,Inputs!$B$18)-P72</f>
        <v>85149.61017</v>
      </c>
      <c r="R72" s="69">
        <f>MAX(0,Q72-M72)*Inputs!$B$17</f>
        <v>19584.41034</v>
      </c>
      <c r="S72" s="69">
        <f t="shared" si="3"/>
        <v>0</v>
      </c>
      <c r="T72" s="69">
        <f t="shared" si="4"/>
        <v>966181.3843</v>
      </c>
      <c r="U72" s="69">
        <f>IF(AND(Inputs!$B$79=1,B72="OPEN",A72&gt;=Inputs!$B$82,C72&gt;=Inputs!$B$91,MOD(C72-Inputs!$B$91,Inputs!$B$90)=0),MIN(MAX(0,T72-Inputs!$B$80)*Inputs!$B$81,MAX(0,H72+J72-K72)),0)</f>
        <v>0</v>
      </c>
      <c r="V72" s="69">
        <f>IF(AND(Inputs!$B$79=1,B72="OPEN",A72&gt;=Inputs!$B$82,C72&gt;=Inputs!$B$91,MOD(C72-Inputs!$B$91,Inputs!$B$90)=0),MIN(MAX(0,MAX(0,T72-Inputs!$B$80)*Inputs!$B$81-U72),MAX(0,G72-I72)),0)</f>
        <v>0</v>
      </c>
      <c r="W72" s="69">
        <f t="shared" si="5"/>
        <v>0</v>
      </c>
      <c r="X72" s="69">
        <f t="shared" si="6"/>
        <v>0</v>
      </c>
      <c r="Y72" s="69">
        <f t="shared" si="7"/>
        <v>0</v>
      </c>
      <c r="Z72" s="69">
        <f t="shared" si="8"/>
        <v>966181.3843</v>
      </c>
    </row>
    <row r="73" ht="15.75" customHeight="1">
      <c r="A73" s="87">
        <f t="shared" si="9"/>
        <v>52</v>
      </c>
      <c r="B73" s="87" t="str">
        <f t="array" ref="B73">INDEX('Monthly Base'!$B$5:$B$67,A73+1)</f>
        <v>OPEN</v>
      </c>
      <c r="C73" s="87">
        <f t="array" ref="C73">INDEX('Monthly Base'!$C$5:$C$67,A73+1)</f>
        <v>50</v>
      </c>
      <c r="D73" s="69">
        <f t="array" ref="D73">INDEX('Monthly Base'!$O$5:$O$67,A73+1)</f>
        <v>92710.98305</v>
      </c>
      <c r="E73" s="69">
        <f t="array" ref="E73">INDEX('Monthly Base'!$Y$5:$Y$67,A73+1)</f>
        <v>0</v>
      </c>
      <c r="F73" s="69">
        <f t="shared" si="10"/>
        <v>966181.3843</v>
      </c>
      <c r="G73" s="69">
        <f t="shared" ref="G73:H73" si="62">W72</f>
        <v>0</v>
      </c>
      <c r="H73" s="69">
        <f t="shared" si="62"/>
        <v>0</v>
      </c>
      <c r="I73" s="69">
        <f>IF(OR(A73&lt;Inputs!$B$15,G73&lt;=0),0,MIN(Financing!$B$10,G73))</f>
        <v>0</v>
      </c>
      <c r="J73" s="69">
        <f>IF(OR(A73&lt;Inputs!$B$15,H73&lt;=0),0,H73*Inputs!$B$13/12)</f>
        <v>0</v>
      </c>
      <c r="K73" s="69">
        <f>IF(OR(A73&lt;Inputs!$B$15,H73&lt;=0),0,MIN(Financing!$C$10,H73+J73))</f>
        <v>0</v>
      </c>
      <c r="L73" s="69">
        <f t="shared" si="2"/>
        <v>0</v>
      </c>
      <c r="M73" s="69">
        <f t="shared" si="12"/>
        <v>0</v>
      </c>
      <c r="N73" s="69">
        <f>IF(AND(Inputs!$B$84=1,B73="OPEN",Y72=0),Inputs!$B$85*(1+Inputs!$B$88)^MAX(0,ROUNDUP(C73/12,0)-1),0)</f>
        <v>0</v>
      </c>
      <c r="O73" s="69">
        <f>IF(AND(Inputs!$B$84=1,B73="OPEN",Y72=0),Inputs!$B$86*(1+Inputs!$B$88)^MAX(0,ROUNDUP(C73/12,0)-1),0)</f>
        <v>0</v>
      </c>
      <c r="P73" s="69">
        <f>(N73+O73)*(1+Inputs!$B$66)</f>
        <v>0</v>
      </c>
      <c r="Q73" s="69">
        <f>D73-J73-IF(C73=0,0,Inputs!$B$18)-P73</f>
        <v>85897.98305</v>
      </c>
      <c r="R73" s="69">
        <f>MAX(0,Q73-M73)*Inputs!$B$17</f>
        <v>19756.5361</v>
      </c>
      <c r="S73" s="69">
        <f t="shared" si="3"/>
        <v>0</v>
      </c>
      <c r="T73" s="69">
        <f t="shared" si="4"/>
        <v>1039135.831</v>
      </c>
      <c r="U73" s="69">
        <f>IF(AND(Inputs!$B$79=1,B73="OPEN",A73&gt;=Inputs!$B$82,C73&gt;=Inputs!$B$91,MOD(C73-Inputs!$B$91,Inputs!$B$90)=0),MIN(MAX(0,T73-Inputs!$B$80)*Inputs!$B$81,MAX(0,H73+J73-K73)),0)</f>
        <v>0</v>
      </c>
      <c r="V73" s="69">
        <f>IF(AND(Inputs!$B$79=1,B73="OPEN",A73&gt;=Inputs!$B$82,C73&gt;=Inputs!$B$91,MOD(C73-Inputs!$B$91,Inputs!$B$90)=0),MIN(MAX(0,MAX(0,T73-Inputs!$B$80)*Inputs!$B$81-U73),MAX(0,G73-I73)),0)</f>
        <v>0</v>
      </c>
      <c r="W73" s="69">
        <f t="shared" si="5"/>
        <v>0</v>
      </c>
      <c r="X73" s="69">
        <f t="shared" si="6"/>
        <v>0</v>
      </c>
      <c r="Y73" s="69">
        <f t="shared" si="7"/>
        <v>0</v>
      </c>
      <c r="Z73" s="69">
        <f t="shared" si="8"/>
        <v>1039135.831</v>
      </c>
    </row>
    <row r="74" ht="15.75" customHeight="1">
      <c r="A74" s="87">
        <f t="shared" si="9"/>
        <v>53</v>
      </c>
      <c r="B74" s="87" t="str">
        <f t="array" ref="B74">INDEX('Monthly Base'!$B$5:$B$67,A74+1)</f>
        <v>OPEN</v>
      </c>
      <c r="C74" s="87">
        <f t="array" ref="C74">INDEX('Monthly Base'!$C$5:$C$67,A74+1)</f>
        <v>51</v>
      </c>
      <c r="D74" s="69">
        <f t="array" ref="D74">INDEX('Monthly Base'!$O$5:$O$67,A74+1)</f>
        <v>93646.44915</v>
      </c>
      <c r="E74" s="69">
        <f t="array" ref="E74">INDEX('Monthly Base'!$Y$5:$Y$67,A74+1)</f>
        <v>0</v>
      </c>
      <c r="F74" s="69">
        <f t="shared" si="10"/>
        <v>1039135.831</v>
      </c>
      <c r="G74" s="69">
        <f t="shared" ref="G74:H74" si="63">W73</f>
        <v>0</v>
      </c>
      <c r="H74" s="69">
        <f t="shared" si="63"/>
        <v>0</v>
      </c>
      <c r="I74" s="69">
        <f>IF(OR(A74&lt;Inputs!$B$15,G74&lt;=0),0,MIN(Financing!$B$10,G74))</f>
        <v>0</v>
      </c>
      <c r="J74" s="69">
        <f>IF(OR(A74&lt;Inputs!$B$15,H74&lt;=0),0,H74*Inputs!$B$13/12)</f>
        <v>0</v>
      </c>
      <c r="K74" s="69">
        <f>IF(OR(A74&lt;Inputs!$B$15,H74&lt;=0),0,MIN(Financing!$C$10,H74+J74))</f>
        <v>0</v>
      </c>
      <c r="L74" s="69">
        <f t="shared" si="2"/>
        <v>0</v>
      </c>
      <c r="M74" s="69">
        <f t="shared" si="12"/>
        <v>0</v>
      </c>
      <c r="N74" s="69">
        <f>IF(AND(Inputs!$B$84=1,B74="OPEN",Y73=0),Inputs!$B$85*(1+Inputs!$B$88)^MAX(0,ROUNDUP(C74/12,0)-1),0)</f>
        <v>0</v>
      </c>
      <c r="O74" s="69">
        <f>IF(AND(Inputs!$B$84=1,B74="OPEN",Y73=0),Inputs!$B$86*(1+Inputs!$B$88)^MAX(0,ROUNDUP(C74/12,0)-1),0)</f>
        <v>0</v>
      </c>
      <c r="P74" s="69">
        <f>(N74+O74)*(1+Inputs!$B$66)</f>
        <v>0</v>
      </c>
      <c r="Q74" s="69">
        <f>D74-J74-IF(C74=0,0,Inputs!$B$18)-P74</f>
        <v>86833.44915</v>
      </c>
      <c r="R74" s="69">
        <f>MAX(0,Q74-M74)*Inputs!$B$17</f>
        <v>19971.69331</v>
      </c>
      <c r="S74" s="69">
        <f t="shared" si="3"/>
        <v>0</v>
      </c>
      <c r="T74" s="69">
        <f t="shared" si="4"/>
        <v>1112810.587</v>
      </c>
      <c r="U74" s="69">
        <f>IF(AND(Inputs!$B$79=1,B74="OPEN",A74&gt;=Inputs!$B$82,C74&gt;=Inputs!$B$91,MOD(C74-Inputs!$B$91,Inputs!$B$90)=0),MIN(MAX(0,T74-Inputs!$B$80)*Inputs!$B$81,MAX(0,H74+J74-K74)),0)</f>
        <v>0</v>
      </c>
      <c r="V74" s="69">
        <f>IF(AND(Inputs!$B$79=1,B74="OPEN",A74&gt;=Inputs!$B$82,C74&gt;=Inputs!$B$91,MOD(C74-Inputs!$B$91,Inputs!$B$90)=0),MIN(MAX(0,MAX(0,T74-Inputs!$B$80)*Inputs!$B$81-U74),MAX(0,G74-I74)),0)</f>
        <v>0</v>
      </c>
      <c r="W74" s="69">
        <f t="shared" si="5"/>
        <v>0</v>
      </c>
      <c r="X74" s="69">
        <f t="shared" si="6"/>
        <v>0</v>
      </c>
      <c r="Y74" s="69">
        <f t="shared" si="7"/>
        <v>0</v>
      </c>
      <c r="Z74" s="69">
        <f t="shared" si="8"/>
        <v>1112810.587</v>
      </c>
    </row>
    <row r="75" ht="15.75" customHeight="1">
      <c r="A75" s="87">
        <f t="shared" si="9"/>
        <v>54</v>
      </c>
      <c r="B75" s="87" t="str">
        <f t="array" ref="B75">INDEX('Monthly Base'!$B$5:$B$67,A75+1)</f>
        <v>OPEN</v>
      </c>
      <c r="C75" s="87">
        <f t="array" ref="C75">INDEX('Monthly Base'!$C$5:$C$67,A75+1)</f>
        <v>52</v>
      </c>
      <c r="D75" s="69">
        <f t="array" ref="D75">INDEX('Monthly Base'!$O$5:$O$67,A75+1)</f>
        <v>94394.82203</v>
      </c>
      <c r="E75" s="69">
        <f t="array" ref="E75">INDEX('Monthly Base'!$Y$5:$Y$67,A75+1)</f>
        <v>0</v>
      </c>
      <c r="F75" s="69">
        <f t="shared" si="10"/>
        <v>1112810.587</v>
      </c>
      <c r="G75" s="69">
        <f t="shared" ref="G75:H75" si="64">W74</f>
        <v>0</v>
      </c>
      <c r="H75" s="69">
        <f t="shared" si="64"/>
        <v>0</v>
      </c>
      <c r="I75" s="69">
        <f>IF(OR(A75&lt;Inputs!$B$15,G75&lt;=0),0,MIN(Financing!$B$10,G75))</f>
        <v>0</v>
      </c>
      <c r="J75" s="69">
        <f>IF(OR(A75&lt;Inputs!$B$15,H75&lt;=0),0,H75*Inputs!$B$13/12)</f>
        <v>0</v>
      </c>
      <c r="K75" s="69">
        <f>IF(OR(A75&lt;Inputs!$B$15,H75&lt;=0),0,MIN(Financing!$C$10,H75+J75))</f>
        <v>0</v>
      </c>
      <c r="L75" s="69">
        <f t="shared" si="2"/>
        <v>0</v>
      </c>
      <c r="M75" s="69">
        <f t="shared" si="12"/>
        <v>0</v>
      </c>
      <c r="N75" s="69">
        <f>IF(AND(Inputs!$B$84=1,B75="OPEN",Y74=0),Inputs!$B$85*(1+Inputs!$B$88)^MAX(0,ROUNDUP(C75/12,0)-1),0)</f>
        <v>0</v>
      </c>
      <c r="O75" s="69">
        <f>IF(AND(Inputs!$B$84=1,B75="OPEN",Y74=0),Inputs!$B$86*(1+Inputs!$B$88)^MAX(0,ROUNDUP(C75/12,0)-1),0)</f>
        <v>0</v>
      </c>
      <c r="P75" s="69">
        <f>(N75+O75)*(1+Inputs!$B$66)</f>
        <v>0</v>
      </c>
      <c r="Q75" s="69">
        <f>D75-J75-IF(C75=0,0,Inputs!$B$18)-P75</f>
        <v>87581.82203</v>
      </c>
      <c r="R75" s="69">
        <f>MAX(0,Q75-M75)*Inputs!$B$17</f>
        <v>20143.81907</v>
      </c>
      <c r="S75" s="69">
        <f t="shared" si="3"/>
        <v>0</v>
      </c>
      <c r="T75" s="69">
        <f t="shared" si="4"/>
        <v>1187061.59</v>
      </c>
      <c r="U75" s="69">
        <f>IF(AND(Inputs!$B$79=1,B75="OPEN",A75&gt;=Inputs!$B$82,C75&gt;=Inputs!$B$91,MOD(C75-Inputs!$B$91,Inputs!$B$90)=0),MIN(MAX(0,T75-Inputs!$B$80)*Inputs!$B$81,MAX(0,H75+J75-K75)),0)</f>
        <v>0</v>
      </c>
      <c r="V75" s="69">
        <f>IF(AND(Inputs!$B$79=1,B75="OPEN",A75&gt;=Inputs!$B$82,C75&gt;=Inputs!$B$91,MOD(C75-Inputs!$B$91,Inputs!$B$90)=0),MIN(MAX(0,MAX(0,T75-Inputs!$B$80)*Inputs!$B$81-U75),MAX(0,G75-I75)),0)</f>
        <v>0</v>
      </c>
      <c r="W75" s="69">
        <f t="shared" si="5"/>
        <v>0</v>
      </c>
      <c r="X75" s="69">
        <f t="shared" si="6"/>
        <v>0</v>
      </c>
      <c r="Y75" s="69">
        <f t="shared" si="7"/>
        <v>0</v>
      </c>
      <c r="Z75" s="69">
        <f t="shared" si="8"/>
        <v>1187061.59</v>
      </c>
    </row>
    <row r="76" ht="15.75" customHeight="1">
      <c r="A76" s="87">
        <f t="shared" si="9"/>
        <v>55</v>
      </c>
      <c r="B76" s="87" t="str">
        <f t="array" ref="B76">INDEX('Monthly Base'!$B$5:$B$67,A76+1)</f>
        <v>OPEN</v>
      </c>
      <c r="C76" s="87">
        <f t="array" ref="C76">INDEX('Monthly Base'!$C$5:$C$67,A76+1)</f>
        <v>53</v>
      </c>
      <c r="D76" s="69">
        <f t="array" ref="D76">INDEX('Monthly Base'!$O$5:$O$67,A76+1)</f>
        <v>95143.19492</v>
      </c>
      <c r="E76" s="69">
        <f t="array" ref="E76">INDEX('Monthly Base'!$Y$5:$Y$67,A76+1)</f>
        <v>0</v>
      </c>
      <c r="F76" s="69">
        <f t="shared" si="10"/>
        <v>1187061.59</v>
      </c>
      <c r="G76" s="69">
        <f t="shared" ref="G76:H76" si="65">W75</f>
        <v>0</v>
      </c>
      <c r="H76" s="69">
        <f t="shared" si="65"/>
        <v>0</v>
      </c>
      <c r="I76" s="69">
        <f>IF(OR(A76&lt;Inputs!$B$15,G76&lt;=0),0,MIN(Financing!$B$10,G76))</f>
        <v>0</v>
      </c>
      <c r="J76" s="69">
        <f>IF(OR(A76&lt;Inputs!$B$15,H76&lt;=0),0,H76*Inputs!$B$13/12)</f>
        <v>0</v>
      </c>
      <c r="K76" s="69">
        <f>IF(OR(A76&lt;Inputs!$B$15,H76&lt;=0),0,MIN(Financing!$C$10,H76+J76))</f>
        <v>0</v>
      </c>
      <c r="L76" s="69">
        <f t="shared" si="2"/>
        <v>0</v>
      </c>
      <c r="M76" s="69">
        <f t="shared" si="12"/>
        <v>0</v>
      </c>
      <c r="N76" s="69">
        <f>IF(AND(Inputs!$B$84=1,B76="OPEN",Y75=0),Inputs!$B$85*(1+Inputs!$B$88)^MAX(0,ROUNDUP(C76/12,0)-1),0)</f>
        <v>0</v>
      </c>
      <c r="O76" s="69">
        <f>IF(AND(Inputs!$B$84=1,B76="OPEN",Y75=0),Inputs!$B$86*(1+Inputs!$B$88)^MAX(0,ROUNDUP(C76/12,0)-1),0)</f>
        <v>0</v>
      </c>
      <c r="P76" s="69">
        <f>(N76+O76)*(1+Inputs!$B$66)</f>
        <v>0</v>
      </c>
      <c r="Q76" s="69">
        <f>D76-J76-IF(C76=0,0,Inputs!$B$18)-P76</f>
        <v>88330.19492</v>
      </c>
      <c r="R76" s="69">
        <f>MAX(0,Q76-M76)*Inputs!$B$17</f>
        <v>20315.94483</v>
      </c>
      <c r="S76" s="69">
        <f t="shared" si="3"/>
        <v>0</v>
      </c>
      <c r="T76" s="69">
        <f t="shared" si="4"/>
        <v>1261888.84</v>
      </c>
      <c r="U76" s="69">
        <f>IF(AND(Inputs!$B$79=1,B76="OPEN",A76&gt;=Inputs!$B$82,C76&gt;=Inputs!$B$91,MOD(C76-Inputs!$B$91,Inputs!$B$90)=0),MIN(MAX(0,T76-Inputs!$B$80)*Inputs!$B$81,MAX(0,H76+J76-K76)),0)</f>
        <v>0</v>
      </c>
      <c r="V76" s="69">
        <f>IF(AND(Inputs!$B$79=1,B76="OPEN",A76&gt;=Inputs!$B$82,C76&gt;=Inputs!$B$91,MOD(C76-Inputs!$B$91,Inputs!$B$90)=0),MIN(MAX(0,MAX(0,T76-Inputs!$B$80)*Inputs!$B$81-U76),MAX(0,G76-I76)),0)</f>
        <v>0</v>
      </c>
      <c r="W76" s="69">
        <f t="shared" si="5"/>
        <v>0</v>
      </c>
      <c r="X76" s="69">
        <f t="shared" si="6"/>
        <v>0</v>
      </c>
      <c r="Y76" s="69">
        <f t="shared" si="7"/>
        <v>0</v>
      </c>
      <c r="Z76" s="69">
        <f t="shared" si="8"/>
        <v>1261888.84</v>
      </c>
    </row>
    <row r="77" ht="15.75" customHeight="1">
      <c r="A77" s="87">
        <f t="shared" si="9"/>
        <v>56</v>
      </c>
      <c r="B77" s="87" t="str">
        <f t="array" ref="B77">INDEX('Monthly Base'!$B$5:$B$67,A77+1)</f>
        <v>OPEN</v>
      </c>
      <c r="C77" s="87">
        <f t="array" ref="C77">INDEX('Monthly Base'!$C$5:$C$67,A77+1)</f>
        <v>54</v>
      </c>
      <c r="D77" s="87">
        <f t="array" ref="D77">INDEX('Monthly Base'!$O$5:$O$67,A77+1)</f>
        <v>95891.5678</v>
      </c>
      <c r="E77" s="87">
        <f t="array" ref="E77">INDEX('Monthly Base'!$Y$5:$Y$67,A77+1)</f>
        <v>0</v>
      </c>
      <c r="F77" s="87">
        <f t="shared" si="10"/>
        <v>1261888.84</v>
      </c>
      <c r="G77" s="87">
        <f t="shared" ref="G77:H77" si="66">W76</f>
        <v>0</v>
      </c>
      <c r="H77" s="87">
        <f t="shared" si="66"/>
        <v>0</v>
      </c>
      <c r="I77" s="87">
        <f>IF(OR(A77&lt;Inputs!$B$15,G77&lt;=0),0,MIN(Financing!$B$10,G77))</f>
        <v>0</v>
      </c>
      <c r="J77" s="69">
        <f>IF(OR(A77&lt;Inputs!$B$15,H77&lt;=0),0,H77*Inputs!$B$13/12)</f>
        <v>0</v>
      </c>
      <c r="K77" s="69">
        <f>IF(OR(A77&lt;Inputs!$B$15,H77&lt;=0),0,MIN(Financing!$C$10,H77+J77))</f>
        <v>0</v>
      </c>
      <c r="L77" s="69">
        <f t="shared" si="2"/>
        <v>0</v>
      </c>
      <c r="M77" s="69">
        <f t="shared" si="12"/>
        <v>0</v>
      </c>
      <c r="N77" s="69">
        <f>IF(AND(Inputs!$B$84=1,B77="OPEN",Y76=0),Inputs!$B$85*(1+Inputs!$B$88)^MAX(0,ROUNDUP(C77/12,0)-1),0)</f>
        <v>0</v>
      </c>
      <c r="O77" s="69">
        <f>IF(AND(Inputs!$B$84=1,B77="OPEN",Y76=0),Inputs!$B$86*(1+Inputs!$B$88)^MAX(0,ROUNDUP(C77/12,0)-1),0)</f>
        <v>0</v>
      </c>
      <c r="P77" s="69">
        <f>(N77+O77)*(1+Inputs!$B$66)</f>
        <v>0</v>
      </c>
      <c r="Q77" s="69">
        <f>D77-J77-IF(C77=0,0,Inputs!$B$18)-P77</f>
        <v>89078.5678</v>
      </c>
      <c r="R77" s="69">
        <f>MAX(0,Q77-M77)*Inputs!$B$17</f>
        <v>20488.07059</v>
      </c>
      <c r="S77" s="69">
        <f t="shared" si="3"/>
        <v>0</v>
      </c>
      <c r="T77" s="69">
        <f t="shared" si="4"/>
        <v>1337292.337</v>
      </c>
      <c r="U77" s="69">
        <f>IF(AND(Inputs!$B$79=1,B77="OPEN",A77&gt;=Inputs!$B$82,C77&gt;=Inputs!$B$91,MOD(C77-Inputs!$B$91,Inputs!$B$90)=0),MIN(MAX(0,T77-Inputs!$B$80)*Inputs!$B$81,MAX(0,H77+J77-K77)),0)</f>
        <v>0</v>
      </c>
      <c r="V77" s="69">
        <f>IF(AND(Inputs!$B$79=1,B77="OPEN",A77&gt;=Inputs!$B$82,C77&gt;=Inputs!$B$91,MOD(C77-Inputs!$B$91,Inputs!$B$90)=0),MIN(MAX(0,MAX(0,T77-Inputs!$B$80)*Inputs!$B$81-U77),MAX(0,G77-I77)),0)</f>
        <v>0</v>
      </c>
      <c r="W77" s="69">
        <f t="shared" si="5"/>
        <v>0</v>
      </c>
      <c r="X77" s="69">
        <f t="shared" si="6"/>
        <v>0</v>
      </c>
      <c r="Y77" s="69">
        <f t="shared" si="7"/>
        <v>0</v>
      </c>
      <c r="Z77" s="69">
        <f t="shared" si="8"/>
        <v>1337292.337</v>
      </c>
    </row>
    <row r="78" ht="15.75" customHeight="1">
      <c r="A78" s="87">
        <f t="shared" si="9"/>
        <v>57</v>
      </c>
      <c r="B78" s="87" t="str">
        <f t="array" ref="B78">INDEX('Monthly Base'!$B$5:$B$67,A78+1)</f>
        <v>OPEN</v>
      </c>
      <c r="C78" s="87">
        <f t="array" ref="C78">INDEX('Monthly Base'!$C$5:$C$67,A78+1)</f>
        <v>55</v>
      </c>
      <c r="D78" s="87">
        <f t="array" ref="D78">INDEX('Monthly Base'!$O$5:$O$67,A78+1)</f>
        <v>96639.94068</v>
      </c>
      <c r="E78" s="87">
        <f t="array" ref="E78">INDEX('Monthly Base'!$Y$5:$Y$67,A78+1)</f>
        <v>0</v>
      </c>
      <c r="F78" s="87">
        <f t="shared" si="10"/>
        <v>1337292.337</v>
      </c>
      <c r="G78" s="87">
        <f t="shared" ref="G78:H78" si="67">W77</f>
        <v>0</v>
      </c>
      <c r="H78" s="87">
        <f t="shared" si="67"/>
        <v>0</v>
      </c>
      <c r="I78" s="87">
        <f>IF(OR(A78&lt;Inputs!$B$15,G78&lt;=0),0,MIN(Financing!$B$10,G78))</f>
        <v>0</v>
      </c>
      <c r="J78" s="69">
        <f>IF(OR(A78&lt;Inputs!$B$15,H78&lt;=0),0,H78*Inputs!$B$13/12)</f>
        <v>0</v>
      </c>
      <c r="K78" s="69">
        <f>IF(OR(A78&lt;Inputs!$B$15,H78&lt;=0),0,MIN(Financing!$C$10,H78+J78))</f>
        <v>0</v>
      </c>
      <c r="L78" s="69">
        <f t="shared" si="2"/>
        <v>0</v>
      </c>
      <c r="M78" s="69">
        <f t="shared" si="12"/>
        <v>0</v>
      </c>
      <c r="N78" s="69">
        <f>IF(AND(Inputs!$B$84=1,B78="OPEN",Y77=0),Inputs!$B$85*(1+Inputs!$B$88)^MAX(0,ROUNDUP(C78/12,0)-1),0)</f>
        <v>0</v>
      </c>
      <c r="O78" s="69">
        <f>IF(AND(Inputs!$B$84=1,B78="OPEN",Y77=0),Inputs!$B$86*(1+Inputs!$B$88)^MAX(0,ROUNDUP(C78/12,0)-1),0)</f>
        <v>0</v>
      </c>
      <c r="P78" s="69">
        <f>(N78+O78)*(1+Inputs!$B$66)</f>
        <v>0</v>
      </c>
      <c r="Q78" s="69">
        <f>D78-J78-IF(C78=0,0,Inputs!$B$18)-P78</f>
        <v>89826.94068</v>
      </c>
      <c r="R78" s="69">
        <f>MAX(0,Q78-M78)*Inputs!$B$17</f>
        <v>20660.19636</v>
      </c>
      <c r="S78" s="69">
        <f t="shared" si="3"/>
        <v>0</v>
      </c>
      <c r="T78" s="69">
        <f t="shared" si="4"/>
        <v>1413272.082</v>
      </c>
      <c r="U78" s="69">
        <f>IF(AND(Inputs!$B$79=1,B78="OPEN",A78&gt;=Inputs!$B$82,C78&gt;=Inputs!$B$91,MOD(C78-Inputs!$B$91,Inputs!$B$90)=0),MIN(MAX(0,T78-Inputs!$B$80)*Inputs!$B$81,MAX(0,H78+J78-K78)),0)</f>
        <v>0</v>
      </c>
      <c r="V78" s="69">
        <f>IF(AND(Inputs!$B$79=1,B78="OPEN",A78&gt;=Inputs!$B$82,C78&gt;=Inputs!$B$91,MOD(C78-Inputs!$B$91,Inputs!$B$90)=0),MIN(MAX(0,MAX(0,T78-Inputs!$B$80)*Inputs!$B$81-U78),MAX(0,G78-I78)),0)</f>
        <v>0</v>
      </c>
      <c r="W78" s="69">
        <f t="shared" si="5"/>
        <v>0</v>
      </c>
      <c r="X78" s="69">
        <f t="shared" si="6"/>
        <v>0</v>
      </c>
      <c r="Y78" s="69">
        <f t="shared" si="7"/>
        <v>0</v>
      </c>
      <c r="Z78" s="69">
        <f t="shared" si="8"/>
        <v>1413272.082</v>
      </c>
    </row>
    <row r="79" ht="15.75" customHeight="1">
      <c r="A79" s="87">
        <f t="shared" si="9"/>
        <v>58</v>
      </c>
      <c r="B79" s="87" t="str">
        <f t="array" ref="B79">INDEX('Monthly Base'!$B$5:$B$67,A79+1)</f>
        <v>OPEN</v>
      </c>
      <c r="C79" s="87">
        <f t="array" ref="C79">INDEX('Monthly Base'!$C$5:$C$67,A79+1)</f>
        <v>56</v>
      </c>
      <c r="D79" s="87">
        <f t="array" ref="D79">INDEX('Monthly Base'!$O$5:$O$67,A79+1)</f>
        <v>97388.31356</v>
      </c>
      <c r="E79" s="87">
        <f t="array" ref="E79">INDEX('Monthly Base'!$Y$5:$Y$67,A79+1)</f>
        <v>0</v>
      </c>
      <c r="F79" s="87">
        <f t="shared" si="10"/>
        <v>1413272.082</v>
      </c>
      <c r="G79" s="87">
        <f t="shared" ref="G79:H79" si="68">W78</f>
        <v>0</v>
      </c>
      <c r="H79" s="87">
        <f t="shared" si="68"/>
        <v>0</v>
      </c>
      <c r="I79" s="87">
        <f>IF(OR(A79&lt;Inputs!$B$15,G79&lt;=0),0,MIN(Financing!$B$10,G79))</f>
        <v>0</v>
      </c>
      <c r="J79" s="69">
        <f>IF(OR(A79&lt;Inputs!$B$15,H79&lt;=0),0,H79*Inputs!$B$13/12)</f>
        <v>0</v>
      </c>
      <c r="K79" s="69">
        <f>IF(OR(A79&lt;Inputs!$B$15,H79&lt;=0),0,MIN(Financing!$C$10,H79+J79))</f>
        <v>0</v>
      </c>
      <c r="L79" s="69">
        <f t="shared" si="2"/>
        <v>0</v>
      </c>
      <c r="M79" s="69">
        <f t="shared" si="12"/>
        <v>0</v>
      </c>
      <c r="N79" s="69">
        <f>IF(AND(Inputs!$B$84=1,B79="OPEN",Y78=0),Inputs!$B$85*(1+Inputs!$B$88)^MAX(0,ROUNDUP(C79/12,0)-1),0)</f>
        <v>0</v>
      </c>
      <c r="O79" s="69">
        <f>IF(AND(Inputs!$B$84=1,B79="OPEN",Y78=0),Inputs!$B$86*(1+Inputs!$B$88)^MAX(0,ROUNDUP(C79/12,0)-1),0)</f>
        <v>0</v>
      </c>
      <c r="P79" s="69">
        <f>(N79+O79)*(1+Inputs!$B$66)</f>
        <v>0</v>
      </c>
      <c r="Q79" s="69">
        <f>D79-J79-IF(C79=0,0,Inputs!$B$18)-P79</f>
        <v>90575.31356</v>
      </c>
      <c r="R79" s="69">
        <f>MAX(0,Q79-M79)*Inputs!$B$17</f>
        <v>20832.32212</v>
      </c>
      <c r="S79" s="69">
        <f t="shared" si="3"/>
        <v>0</v>
      </c>
      <c r="T79" s="69">
        <f t="shared" si="4"/>
        <v>1489828.073</v>
      </c>
      <c r="U79" s="69">
        <f>IF(AND(Inputs!$B$79=1,B79="OPEN",A79&gt;=Inputs!$B$82,C79&gt;=Inputs!$B$91,MOD(C79-Inputs!$B$91,Inputs!$B$90)=0),MIN(MAX(0,T79-Inputs!$B$80)*Inputs!$B$81,MAX(0,H79+J79-K79)),0)</f>
        <v>0</v>
      </c>
      <c r="V79" s="69">
        <f>IF(AND(Inputs!$B$79=1,B79="OPEN",A79&gt;=Inputs!$B$82,C79&gt;=Inputs!$B$91,MOD(C79-Inputs!$B$91,Inputs!$B$90)=0),MIN(MAX(0,MAX(0,T79-Inputs!$B$80)*Inputs!$B$81-U79),MAX(0,G79-I79)),0)</f>
        <v>0</v>
      </c>
      <c r="W79" s="69">
        <f t="shared" si="5"/>
        <v>0</v>
      </c>
      <c r="X79" s="69">
        <f t="shared" si="6"/>
        <v>0</v>
      </c>
      <c r="Y79" s="69">
        <f t="shared" si="7"/>
        <v>0</v>
      </c>
      <c r="Z79" s="69">
        <f t="shared" si="8"/>
        <v>1489828.073</v>
      </c>
    </row>
    <row r="80" ht="15.75" customHeight="1">
      <c r="A80" s="87">
        <f t="shared" si="9"/>
        <v>59</v>
      </c>
      <c r="B80" s="87" t="str">
        <f t="array" ref="B80">INDEX('Monthly Base'!$B$5:$B$67,A80+1)</f>
        <v>OPEN</v>
      </c>
      <c r="C80" s="87">
        <f t="array" ref="C80">INDEX('Monthly Base'!$C$5:$C$67,A80+1)</f>
        <v>57</v>
      </c>
      <c r="D80" s="87">
        <f t="array" ref="D80">INDEX('Monthly Base'!$O$5:$O$67,A80+1)</f>
        <v>98323.77966</v>
      </c>
      <c r="E80" s="87">
        <f t="array" ref="E80">INDEX('Monthly Base'!$Y$5:$Y$67,A80+1)</f>
        <v>0</v>
      </c>
      <c r="F80" s="87">
        <f t="shared" si="10"/>
        <v>1489828.073</v>
      </c>
      <c r="G80" s="87">
        <f t="shared" ref="G80:H80" si="69">W79</f>
        <v>0</v>
      </c>
      <c r="H80" s="87">
        <f t="shared" si="69"/>
        <v>0</v>
      </c>
      <c r="I80" s="87">
        <f>IF(OR(A80&lt;Inputs!$B$15,G80&lt;=0),0,MIN(Financing!$B$10,G80))</f>
        <v>0</v>
      </c>
      <c r="J80" s="69">
        <f>IF(OR(A80&lt;Inputs!$B$15,H80&lt;=0),0,H80*Inputs!$B$13/12)</f>
        <v>0</v>
      </c>
      <c r="K80" s="69">
        <f>IF(OR(A80&lt;Inputs!$B$15,H80&lt;=0),0,MIN(Financing!$C$10,H80+J80))</f>
        <v>0</v>
      </c>
      <c r="L80" s="69">
        <f t="shared" si="2"/>
        <v>0</v>
      </c>
      <c r="M80" s="69">
        <f t="shared" si="12"/>
        <v>0</v>
      </c>
      <c r="N80" s="69">
        <f>IF(AND(Inputs!$B$84=1,B80="OPEN",Y79=0),Inputs!$B$85*(1+Inputs!$B$88)^MAX(0,ROUNDUP(C80/12,0)-1),0)</f>
        <v>0</v>
      </c>
      <c r="O80" s="69">
        <f>IF(AND(Inputs!$B$84=1,B80="OPEN",Y79=0),Inputs!$B$86*(1+Inputs!$B$88)^MAX(0,ROUNDUP(C80/12,0)-1),0)</f>
        <v>0</v>
      </c>
      <c r="P80" s="69">
        <f>(N80+O80)*(1+Inputs!$B$66)</f>
        <v>0</v>
      </c>
      <c r="Q80" s="69">
        <f>D80-J80-IF(C80=0,0,Inputs!$B$18)-P80</f>
        <v>91510.77966</v>
      </c>
      <c r="R80" s="69">
        <f>MAX(0,Q80-M80)*Inputs!$B$17</f>
        <v>21047.47932</v>
      </c>
      <c r="S80" s="69">
        <f t="shared" si="3"/>
        <v>0</v>
      </c>
      <c r="T80" s="69">
        <f t="shared" si="4"/>
        <v>1567104.373</v>
      </c>
      <c r="U80" s="69">
        <f>IF(AND(Inputs!$B$79=1,B80="OPEN",A80&gt;=Inputs!$B$82,C80&gt;=Inputs!$B$91,MOD(C80-Inputs!$B$91,Inputs!$B$90)=0),MIN(MAX(0,T80-Inputs!$B$80)*Inputs!$B$81,MAX(0,H80+J80-K80)),0)</f>
        <v>0</v>
      </c>
      <c r="V80" s="69">
        <f>IF(AND(Inputs!$B$79=1,B80="OPEN",A80&gt;=Inputs!$B$82,C80&gt;=Inputs!$B$91,MOD(C80-Inputs!$B$91,Inputs!$B$90)=0),MIN(MAX(0,MAX(0,T80-Inputs!$B$80)*Inputs!$B$81-U80),MAX(0,G80-I80)),0)</f>
        <v>0</v>
      </c>
      <c r="W80" s="69">
        <f t="shared" si="5"/>
        <v>0</v>
      </c>
      <c r="X80" s="69">
        <f t="shared" si="6"/>
        <v>0</v>
      </c>
      <c r="Y80" s="69">
        <f t="shared" si="7"/>
        <v>0</v>
      </c>
      <c r="Z80" s="69">
        <f t="shared" si="8"/>
        <v>1567104.373</v>
      </c>
    </row>
    <row r="81" ht="15.75" customHeight="1">
      <c r="A81" s="87">
        <f t="shared" si="9"/>
        <v>60</v>
      </c>
      <c r="B81" s="87" t="str">
        <f t="array" ref="B81">INDEX('Monthly Base'!$B$5:$B$67,A81+1)</f>
        <v>OPEN</v>
      </c>
      <c r="C81" s="87">
        <f t="array" ref="C81">INDEX('Monthly Base'!$C$5:$C$67,A81+1)</f>
        <v>58</v>
      </c>
      <c r="D81" s="87">
        <f t="array" ref="D81">INDEX('Monthly Base'!$O$5:$O$67,A81+1)</f>
        <v>99072.15254</v>
      </c>
      <c r="E81" s="87">
        <f t="array" ref="E81">INDEX('Monthly Base'!$Y$5:$Y$67,A81+1)</f>
        <v>0</v>
      </c>
      <c r="F81" s="87">
        <f t="shared" si="10"/>
        <v>1567104.373</v>
      </c>
      <c r="G81" s="87">
        <f t="shared" ref="G81:H81" si="70">W80</f>
        <v>0</v>
      </c>
      <c r="H81" s="87">
        <f t="shared" si="70"/>
        <v>0</v>
      </c>
      <c r="I81" s="87">
        <f>IF(OR(A81&lt;Inputs!$B$15,G81&lt;=0),0,MIN(Financing!$B$10,G81))</f>
        <v>0</v>
      </c>
      <c r="J81" s="69">
        <f>IF(OR(A81&lt;Inputs!$B$15,H81&lt;=0),0,H81*Inputs!$B$13/12)</f>
        <v>0</v>
      </c>
      <c r="K81" s="69">
        <f>IF(OR(A81&lt;Inputs!$B$15,H81&lt;=0),0,MIN(Financing!$C$10,H81+J81))</f>
        <v>0</v>
      </c>
      <c r="L81" s="69">
        <f t="shared" si="2"/>
        <v>0</v>
      </c>
      <c r="M81" s="69">
        <f t="shared" si="12"/>
        <v>0</v>
      </c>
      <c r="N81" s="69">
        <f>IF(AND(Inputs!$B$84=1,B81="OPEN",Y80=0),Inputs!$B$85*(1+Inputs!$B$88)^MAX(0,ROUNDUP(C81/12,0)-1),0)</f>
        <v>0</v>
      </c>
      <c r="O81" s="69">
        <f>IF(AND(Inputs!$B$84=1,B81="OPEN",Y80=0),Inputs!$B$86*(1+Inputs!$B$88)^MAX(0,ROUNDUP(C81/12,0)-1),0)</f>
        <v>0</v>
      </c>
      <c r="P81" s="69">
        <f>(N81+O81)*(1+Inputs!$B$66)</f>
        <v>0</v>
      </c>
      <c r="Q81" s="69">
        <f>D81-J81-IF(C81=0,0,Inputs!$B$18)-P81</f>
        <v>92259.15254</v>
      </c>
      <c r="R81" s="69">
        <f>MAX(0,Q81-M81)*Inputs!$B$17</f>
        <v>21219.60508</v>
      </c>
      <c r="S81" s="69">
        <f t="shared" si="3"/>
        <v>0</v>
      </c>
      <c r="T81" s="69">
        <f t="shared" si="4"/>
        <v>1644956.921</v>
      </c>
      <c r="U81" s="69">
        <f>IF(AND(Inputs!$B$79=1,B81="OPEN",A81&gt;=Inputs!$B$82,C81&gt;=Inputs!$B$91,MOD(C81-Inputs!$B$91,Inputs!$B$90)=0),MIN(MAX(0,T81-Inputs!$B$80)*Inputs!$B$81,MAX(0,H81+J81-K81)),0)</f>
        <v>0</v>
      </c>
      <c r="V81" s="69">
        <f>IF(AND(Inputs!$B$79=1,B81="OPEN",A81&gt;=Inputs!$B$82,C81&gt;=Inputs!$B$91,MOD(C81-Inputs!$B$91,Inputs!$B$90)=0),MIN(MAX(0,MAX(0,T81-Inputs!$B$80)*Inputs!$B$81-U81),MAX(0,G81-I81)),0)</f>
        <v>0</v>
      </c>
      <c r="W81" s="69">
        <f t="shared" si="5"/>
        <v>0</v>
      </c>
      <c r="X81" s="69">
        <f t="shared" si="6"/>
        <v>0</v>
      </c>
      <c r="Y81" s="69">
        <f t="shared" si="7"/>
        <v>0</v>
      </c>
      <c r="Z81" s="69">
        <f t="shared" si="8"/>
        <v>1644956.921</v>
      </c>
    </row>
    <row r="82" ht="15.75" customHeight="1">
      <c r="A82" s="87">
        <f t="shared" si="9"/>
        <v>61</v>
      </c>
      <c r="B82" s="87" t="str">
        <f t="array" ref="B82">INDEX('Monthly Base'!$B$5:$B$67,A82+1)</f>
        <v>OPEN</v>
      </c>
      <c r="C82" s="87">
        <f t="array" ref="C82">INDEX('Monthly Base'!$C$5:$C$67,A82+1)</f>
        <v>59</v>
      </c>
      <c r="D82" s="69">
        <f t="array" ref="D82">INDEX('Monthly Base'!$O$5:$O$67,A82+1)</f>
        <v>99820.52542</v>
      </c>
      <c r="E82" s="69">
        <f t="array" ref="E82">INDEX('Monthly Base'!$Y$5:$Y$67,A82+1)</f>
        <v>0</v>
      </c>
      <c r="F82" s="69">
        <f t="shared" si="10"/>
        <v>1644956.921</v>
      </c>
      <c r="G82" s="69">
        <f t="shared" ref="G82:H82" si="71">W81</f>
        <v>0</v>
      </c>
      <c r="H82" s="69">
        <f t="shared" si="71"/>
        <v>0</v>
      </c>
      <c r="I82" s="69">
        <f>IF(OR(A82&lt;Inputs!$B$15,G82&lt;=0),0,MIN(Financing!$B$10,G82))</f>
        <v>0</v>
      </c>
      <c r="J82" s="69">
        <f>IF(OR(A82&lt;Inputs!$B$15,H82&lt;=0),0,H82*Inputs!$B$13/12)</f>
        <v>0</v>
      </c>
      <c r="K82" s="69">
        <f>IF(OR(A82&lt;Inputs!$B$15,H82&lt;=0),0,MIN(Financing!$C$10,H82+J82))</f>
        <v>0</v>
      </c>
      <c r="L82" s="69">
        <f t="shared" si="2"/>
        <v>0</v>
      </c>
      <c r="M82" s="69">
        <f t="shared" si="12"/>
        <v>0</v>
      </c>
      <c r="N82" s="69">
        <f>IF(AND(Inputs!$B$84=1,B82="OPEN",Y81=0),Inputs!$B$85*(1+Inputs!$B$88)^MAX(0,ROUNDUP(C82/12,0)-1),0)</f>
        <v>0</v>
      </c>
      <c r="O82" s="69">
        <f>IF(AND(Inputs!$B$84=1,B82="OPEN",Y81=0),Inputs!$B$86*(1+Inputs!$B$88)^MAX(0,ROUNDUP(C82/12,0)-1),0)</f>
        <v>0</v>
      </c>
      <c r="P82" s="69">
        <f>(N82+O82)*(1+Inputs!$B$66)</f>
        <v>0</v>
      </c>
      <c r="Q82" s="69">
        <f>D82-J82-IF(C82=0,0,Inputs!$B$18)-P82</f>
        <v>93007.52542</v>
      </c>
      <c r="R82" s="69">
        <f>MAX(0,Q82-M82)*Inputs!$B$17</f>
        <v>21391.73085</v>
      </c>
      <c r="S82" s="69">
        <f t="shared" si="3"/>
        <v>0</v>
      </c>
      <c r="T82" s="69">
        <f t="shared" si="4"/>
        <v>1723385.715</v>
      </c>
      <c r="U82" s="69">
        <f>IF(AND(Inputs!$B$79=1,B82="OPEN",A82&gt;=Inputs!$B$82,C82&gt;=Inputs!$B$91,MOD(C82-Inputs!$B$91,Inputs!$B$90)=0),MIN(MAX(0,T82-Inputs!$B$80)*Inputs!$B$81,MAX(0,H82+J82-K82)),0)</f>
        <v>0</v>
      </c>
      <c r="V82" s="69">
        <f>IF(AND(Inputs!$B$79=1,B82="OPEN",A82&gt;=Inputs!$B$82,C82&gt;=Inputs!$B$91,MOD(C82-Inputs!$B$91,Inputs!$B$90)=0),MIN(MAX(0,MAX(0,T82-Inputs!$B$80)*Inputs!$B$81-U82),MAX(0,G82-I82)),0)</f>
        <v>0</v>
      </c>
      <c r="W82" s="69">
        <f t="shared" si="5"/>
        <v>0</v>
      </c>
      <c r="X82" s="69">
        <f t="shared" si="6"/>
        <v>0</v>
      </c>
      <c r="Y82" s="69">
        <f t="shared" si="7"/>
        <v>0</v>
      </c>
      <c r="Z82" s="69">
        <f t="shared" si="8"/>
        <v>1723385.715</v>
      </c>
    </row>
    <row r="83" ht="15.75" customHeight="1">
      <c r="A83" s="87">
        <f t="shared" si="9"/>
        <v>62</v>
      </c>
      <c r="B83" s="87" t="str">
        <f t="array" ref="B83">INDEX('Monthly Base'!$B$5:$B$67,A83+1)</f>
        <v>OPEN</v>
      </c>
      <c r="C83" s="87">
        <f t="array" ref="C83">INDEX('Monthly Base'!$C$5:$C$67,A83+1)</f>
        <v>60</v>
      </c>
      <c r="D83" s="69">
        <f t="array" ref="D83">INDEX('Monthly Base'!$O$5:$O$67,A83+1)</f>
        <v>100568.8983</v>
      </c>
      <c r="E83" s="69">
        <f t="array" ref="E83">INDEX('Monthly Base'!$Y$5:$Y$67,A83+1)</f>
        <v>0</v>
      </c>
      <c r="F83" s="69">
        <f t="shared" si="10"/>
        <v>1723385.715</v>
      </c>
      <c r="G83" s="69">
        <f t="shared" ref="G83:H83" si="72">W82</f>
        <v>0</v>
      </c>
      <c r="H83" s="69">
        <f t="shared" si="72"/>
        <v>0</v>
      </c>
      <c r="I83" s="69">
        <f>IF(OR(A83&lt;Inputs!$B$15,G83&lt;=0),0,MIN(Financing!$B$10,G83))</f>
        <v>0</v>
      </c>
      <c r="J83" s="69">
        <f>IF(OR(A83&lt;Inputs!$B$15,H83&lt;=0),0,H83*Inputs!$B$13/12)</f>
        <v>0</v>
      </c>
      <c r="K83" s="69">
        <f>IF(OR(A83&lt;Inputs!$B$15,H83&lt;=0),0,MIN(Financing!$C$10,H83+J83))</f>
        <v>0</v>
      </c>
      <c r="L83" s="69">
        <f t="shared" si="2"/>
        <v>0</v>
      </c>
      <c r="M83" s="69">
        <f t="shared" si="12"/>
        <v>0</v>
      </c>
      <c r="N83" s="69">
        <f>IF(AND(Inputs!$B$84=1,B83="OPEN",Y82=0),Inputs!$B$85*(1+Inputs!$B$88)^MAX(0,ROUNDUP(C83/12,0)-1),0)</f>
        <v>0</v>
      </c>
      <c r="O83" s="69">
        <f>IF(AND(Inputs!$B$84=1,B83="OPEN",Y82=0),Inputs!$B$86*(1+Inputs!$B$88)^MAX(0,ROUNDUP(C83/12,0)-1),0)</f>
        <v>0</v>
      </c>
      <c r="P83" s="69">
        <f>(N83+O83)*(1+Inputs!$B$66)</f>
        <v>0</v>
      </c>
      <c r="Q83" s="69">
        <f>D83-J83-IF(C83=0,0,Inputs!$B$18)-P83</f>
        <v>93755.89831</v>
      </c>
      <c r="R83" s="69">
        <f>MAX(0,Q83-M83)*Inputs!$B$17</f>
        <v>21563.85661</v>
      </c>
      <c r="S83" s="69">
        <f t="shared" si="3"/>
        <v>0</v>
      </c>
      <c r="T83" s="69">
        <f t="shared" si="4"/>
        <v>1802390.757</v>
      </c>
      <c r="U83" s="69">
        <f>IF(AND(Inputs!$B$79=1,B83="OPEN",A83&gt;=Inputs!$B$82,C83&gt;=Inputs!$B$91,MOD(C83-Inputs!$B$91,Inputs!$B$90)=0),MIN(MAX(0,T83-Inputs!$B$80)*Inputs!$B$81,MAX(0,H83+J83-K83)),0)</f>
        <v>0</v>
      </c>
      <c r="V83" s="69">
        <f>IF(AND(Inputs!$B$79=1,B83="OPEN",A83&gt;=Inputs!$B$82,C83&gt;=Inputs!$B$91,MOD(C83-Inputs!$B$91,Inputs!$B$90)=0),MIN(MAX(0,MAX(0,T83-Inputs!$B$80)*Inputs!$B$81-U83),MAX(0,G83-I83)),0)</f>
        <v>0</v>
      </c>
      <c r="W83" s="69">
        <f t="shared" si="5"/>
        <v>0</v>
      </c>
      <c r="X83" s="69">
        <f t="shared" si="6"/>
        <v>0</v>
      </c>
      <c r="Y83" s="69">
        <f t="shared" si="7"/>
        <v>0</v>
      </c>
      <c r="Z83" s="69">
        <f t="shared" si="8"/>
        <v>1802390.757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19:Z1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2.63" defaultRowHeight="15.0"/>
  <sheetData>
    <row r="1">
      <c r="A1" s="90" t="s">
        <v>532</v>
      </c>
      <c r="B1" s="91"/>
      <c r="C1" s="91"/>
      <c r="D1" s="91"/>
    </row>
    <row r="2">
      <c r="A2" s="21" t="s">
        <v>533</v>
      </c>
    </row>
    <row r="4">
      <c r="A4" s="92" t="s">
        <v>534</v>
      </c>
      <c r="B4" s="92" t="s">
        <v>535</v>
      </c>
      <c r="C4" s="92" t="s">
        <v>536</v>
      </c>
      <c r="D4" s="92" t="s">
        <v>537</v>
      </c>
      <c r="E4" s="92" t="s">
        <v>538</v>
      </c>
    </row>
    <row r="5">
      <c r="A5" s="21" t="s">
        <v>539</v>
      </c>
      <c r="B5" s="21">
        <v>0.0</v>
      </c>
      <c r="C5" s="21">
        <v>13.0</v>
      </c>
      <c r="D5" s="21">
        <v>7.0</v>
      </c>
      <c r="E5" s="21">
        <v>7.0</v>
      </c>
    </row>
    <row r="6">
      <c r="A6" s="21" t="s">
        <v>540</v>
      </c>
      <c r="B6" s="21">
        <v>0.0</v>
      </c>
      <c r="C6" s="21">
        <v>5000.0</v>
      </c>
      <c r="D6" s="21">
        <v>10000.0</v>
      </c>
      <c r="E6" s="21">
        <v>5000.0</v>
      </c>
    </row>
    <row r="7">
      <c r="A7" s="21" t="s">
        <v>541</v>
      </c>
      <c r="B7" s="21">
        <v>10000.0</v>
      </c>
      <c r="C7" s="21">
        <v>10000.0</v>
      </c>
      <c r="D7" s="21">
        <v>10000.0</v>
      </c>
      <c r="E7" s="21">
        <v>10000.0</v>
      </c>
    </row>
    <row r="8">
      <c r="A8" s="93" t="s">
        <v>256</v>
      </c>
      <c r="B8" s="69">
        <f>Inputs!$B$80</f>
        <v>150000</v>
      </c>
      <c r="C8" s="69">
        <f>Inputs!$B$80</f>
        <v>150000</v>
      </c>
      <c r="D8" s="69">
        <f>Inputs!$B$80</f>
        <v>150000</v>
      </c>
      <c r="E8" s="69">
        <f>Inputs!$B$80</f>
        <v>150000</v>
      </c>
    </row>
    <row r="9">
      <c r="A9" s="21" t="s">
        <v>542</v>
      </c>
      <c r="B9" s="8">
        <f>Inputs!$B$90</f>
        <v>6</v>
      </c>
      <c r="C9" s="8">
        <f>Inputs!$B$90</f>
        <v>6</v>
      </c>
      <c r="D9" s="8">
        <f>Inputs!$B$90</f>
        <v>6</v>
      </c>
      <c r="E9" s="8">
        <f>Inputs!$B$90</f>
        <v>6</v>
      </c>
    </row>
    <row r="10">
      <c r="A10" s="21" t="s">
        <v>286</v>
      </c>
      <c r="B10" s="8">
        <f>Inputs!$B$91</f>
        <v>12</v>
      </c>
      <c r="C10" s="8">
        <f>Inputs!$B$91</f>
        <v>12</v>
      </c>
      <c r="D10" s="8">
        <f>Inputs!$B$91</f>
        <v>12</v>
      </c>
      <c r="E10" s="8">
        <f>Inputs!$B$91</f>
        <v>12</v>
      </c>
    </row>
    <row r="11">
      <c r="A11" s="21" t="s">
        <v>543</v>
      </c>
      <c r="B11" s="94">
        <f>Inputs!$B$66</f>
        <v>0.2</v>
      </c>
      <c r="C11" s="94">
        <f>Inputs!$B$66</f>
        <v>0.2</v>
      </c>
      <c r="D11" s="94">
        <f>Inputs!$B$66</f>
        <v>0.2</v>
      </c>
      <c r="E11" s="94">
        <f>Inputs!$B$66</f>
        <v>0.2</v>
      </c>
    </row>
    <row r="13">
      <c r="A13" s="21" t="s">
        <v>444</v>
      </c>
      <c r="B13" s="8">
        <f t="array" ref="B13">IFERROR(INDEX(C31:C93,MATCH(0,Y31:Y93,0)),"Beyond model")</f>
        <v>42</v>
      </c>
      <c r="C13" s="8">
        <f t="array" ref="C13">IFERROR(INDEX(C101:C163,MATCH(0,Y101:Y163,0)),"Beyond model")</f>
        <v>42</v>
      </c>
      <c r="D13" s="8">
        <f t="array" ref="D13">IFERROR(INDEX(C171:C233,MATCH(0,Y171:Y233,0)),"Beyond model")</f>
        <v>54</v>
      </c>
      <c r="E13" s="8">
        <f t="array" ref="E13">IFERROR(INDEX(C241:C303,MATCH(0,Y241:Y303,0)),"Beyond model")</f>
        <v>47</v>
      </c>
    </row>
    <row r="14">
      <c r="A14" s="21" t="s">
        <v>544</v>
      </c>
      <c r="B14" s="8">
        <f t="array" ref="B14">IFERROR(INDEX(C31:C93,MATCH(0,X31:X93,0)),"Beyond model")</f>
        <v>36</v>
      </c>
      <c r="C14" s="8">
        <f t="array" ref="C14">IFERROR(INDEX(C101:C163,MATCH(0,X101:X163,0)),"Beyond model")</f>
        <v>42</v>
      </c>
      <c r="D14" s="8">
        <f t="array" ref="D14">IFERROR(INDEX(C171:C233,MATCH(0,X171:X233,0)),"Beyond model")</f>
        <v>48</v>
      </c>
      <c r="E14" s="8">
        <f t="array" ref="E14">IFERROR(INDEX(C241:C303,MATCH(0,X241:X303,0)),"Beyond model")</f>
        <v>42</v>
      </c>
    </row>
    <row r="15">
      <c r="A15" s="21" t="s">
        <v>545</v>
      </c>
      <c r="B15" s="8">
        <f>IFERROR(__xludf.DUMMYFUNCTION("IFERROR(MIN(FILTER(C31:C93,N31:N93&gt;0,C31:C93&gt;0)),""None"")"),43.0)</f>
        <v>43</v>
      </c>
      <c r="C15" s="8">
        <f>IFERROR(__xludf.DUMMYFUNCTION("IFERROR(MIN(FILTER(C101:C163,N101:N163&gt;0,C101:C163&gt;0)),""None"")"),13.0)</f>
        <v>13</v>
      </c>
      <c r="D15" s="8">
        <f>IFERROR(__xludf.DUMMYFUNCTION("IFERROR(MIN(FILTER(C171:C233,N171:N233&gt;0,C171:C233&gt;0)),""None"")"),7.0)</f>
        <v>7</v>
      </c>
      <c r="E15" s="8">
        <f>IFERROR(__xludf.DUMMYFUNCTION("IFERROR(MIN(FILTER(C241:C303,N241:N303&gt;0,C241:C303&gt;0)),""None"")"),7.0)</f>
        <v>7</v>
      </c>
    </row>
    <row r="16">
      <c r="A16" s="21" t="s">
        <v>546</v>
      </c>
      <c r="B16" s="8">
        <f>SUM(N31:O93)</f>
        <v>360000</v>
      </c>
      <c r="C16" s="8">
        <f>SUM(N101:O163)</f>
        <v>660000</v>
      </c>
      <c r="D16" s="8">
        <f>SUM(N171:O233)</f>
        <v>1080000</v>
      </c>
      <c r="E16" s="8">
        <f>SUM(N241:O303)</f>
        <v>670000</v>
      </c>
    </row>
    <row r="17">
      <c r="A17" s="21" t="s">
        <v>547</v>
      </c>
      <c r="B17" s="8">
        <f>SUM(P31:P93)</f>
        <v>432000</v>
      </c>
      <c r="C17" s="8">
        <f>SUM(P101:P163)</f>
        <v>792000</v>
      </c>
      <c r="D17" s="8">
        <f>SUM(P171:P233)</f>
        <v>1296000</v>
      </c>
      <c r="E17" s="8">
        <f>SUM(P241:P303)</f>
        <v>804000</v>
      </c>
    </row>
    <row r="18">
      <c r="A18" s="21" t="s">
        <v>454</v>
      </c>
      <c r="B18" s="95">
        <f>SUM(Financing!$G$17:$G$79)-SUM(J31:J93)</f>
        <v>48787.13966</v>
      </c>
      <c r="C18" s="95">
        <f>SUM(Financing!$G$17:$G$79)-SUM(J101:J163)</f>
        <v>37952.11454</v>
      </c>
      <c r="D18" s="95">
        <f>SUM(Financing!$G$17:$G$79)-SUM(J171:J233)</f>
        <v>17002.60731</v>
      </c>
      <c r="E18" s="95">
        <f>SUM(Financing!$G$17:$G$79)-SUM(J241:J303)</f>
        <v>32748.36191</v>
      </c>
    </row>
    <row r="19">
      <c r="A19" s="21" t="s">
        <v>548</v>
      </c>
      <c r="B19" s="8">
        <f>SUM(U31:V93)</f>
        <v>613329.3085</v>
      </c>
      <c r="C19" s="8">
        <f>SUM(U101:V163)</f>
        <v>522877.0089</v>
      </c>
      <c r="D19" s="8">
        <f>SUM(U171:V233)</f>
        <v>394539.1915</v>
      </c>
      <c r="E19" s="8">
        <f>SUM(U241:V303)</f>
        <v>509480.1164</v>
      </c>
    </row>
    <row r="20">
      <c r="A20" s="21" t="s">
        <v>460</v>
      </c>
      <c r="B20" s="95">
        <f>Z93</f>
        <v>1469750.757</v>
      </c>
      <c r="C20" s="95">
        <f>Z163</f>
        <v>1184207.788</v>
      </c>
      <c r="D20" s="95">
        <f>Z233</f>
        <v>779996.6673</v>
      </c>
      <c r="E20" s="95">
        <f>Z303</f>
        <v>1170960.898</v>
      </c>
    </row>
    <row r="21">
      <c r="A21" s="21" t="s">
        <v>464</v>
      </c>
      <c r="B21" s="8">
        <f>IF(Y93=0,MAX(0,Z93-B8),0)</f>
        <v>1319750.757</v>
      </c>
      <c r="C21" s="8">
        <f>IF(Y163=0,MAX(0,Z163-C8),0)</f>
        <v>1034207.788</v>
      </c>
      <c r="D21" s="8">
        <f>IF(Y233=0,MAX(0,Z233-D8),0)</f>
        <v>629996.6673</v>
      </c>
      <c r="E21" s="8">
        <f>IF(Y303=0,MAX(0,Z303-E8),0)</f>
        <v>1020960.898</v>
      </c>
    </row>
    <row r="22">
      <c r="A22" s="21" t="s">
        <v>466</v>
      </c>
      <c r="B22" s="8">
        <f t="shared" ref="B22:E22" si="1">B21*0.5</f>
        <v>659875.3786</v>
      </c>
      <c r="C22" s="8">
        <f t="shared" si="1"/>
        <v>517103.8939</v>
      </c>
      <c r="D22" s="8">
        <f t="shared" si="1"/>
        <v>314998.3336</v>
      </c>
      <c r="E22" s="8">
        <f t="shared" si="1"/>
        <v>510480.4492</v>
      </c>
    </row>
    <row r="23">
      <c r="A23" s="21" t="s">
        <v>469</v>
      </c>
      <c r="B23" s="8">
        <f t="array" ref="B23">IFERROR(MAX(0,Inputs!$B$15+Inputs!$B$16-1-INDEX(A31:A93,MATCH(0,Y31:Y93,0))),0)</f>
        <v>27</v>
      </c>
      <c r="C23" s="8">
        <f t="array" ref="C23">IFERROR(MAX(0,Inputs!$B$15+Inputs!$B$16-1-INDEX(A101:A163,MATCH(0,Y101:Y163,0))),0)</f>
        <v>27</v>
      </c>
      <c r="D23" s="8">
        <f t="array" ref="D23">IFERROR(MAX(0,Inputs!$B$15+Inputs!$B$16-1-INDEX(A171:A233,MATCH(0,Y171:Y233,0))),0)</f>
        <v>15</v>
      </c>
      <c r="E23" s="8">
        <f t="array" ref="E23">IFERROR(MAX(0,Inputs!$B$15+Inputs!$B$16-1-INDEX(A241:A303,MATCH(0,Y241:Y303,0))),0)</f>
        <v>22</v>
      </c>
    </row>
    <row r="24">
      <c r="A24" s="21" t="s">
        <v>549</v>
      </c>
      <c r="B24" s="8">
        <f>Y93</f>
        <v>0</v>
      </c>
      <c r="C24" s="8">
        <f>Y163</f>
        <v>0</v>
      </c>
      <c r="D24" s="8">
        <f>Y233</f>
        <v>0</v>
      </c>
      <c r="E24" s="8">
        <f>Y303</f>
        <v>0</v>
      </c>
    </row>
    <row r="25">
      <c r="A25" s="21" t="s">
        <v>550</v>
      </c>
      <c r="B25" s="95">
        <f>MIN(Z31:Z93)</f>
        <v>28954.0014</v>
      </c>
      <c r="C25" s="95">
        <f>MIN(Z101:Z163)</f>
        <v>28954.0014</v>
      </c>
      <c r="D25" s="95">
        <f>MIN(Z171:Z233)</f>
        <v>-43607.93588</v>
      </c>
      <c r="E25" s="95">
        <f>MIN(Z241:Z303)</f>
        <v>28954.0014</v>
      </c>
    </row>
    <row r="26">
      <c r="A26" s="21" t="s">
        <v>551</v>
      </c>
      <c r="B26" s="21" t="s">
        <v>552</v>
      </c>
      <c r="C26" s="21" t="s">
        <v>553</v>
      </c>
      <c r="D26" s="21" t="s">
        <v>554</v>
      </c>
      <c r="E26" s="21" t="s">
        <v>555</v>
      </c>
    </row>
    <row r="27">
      <c r="A27" s="21" t="s">
        <v>556</v>
      </c>
      <c r="B27" s="95">
        <f>IFERROR(__xludf.DUMMYFUNCTION("MIN(FILTER(Z31:Z93,C31:C93&gt;0))"),126843.9333898304)</f>
        <v>126843.9334</v>
      </c>
      <c r="C27" s="95">
        <f>IFERROR(__xludf.DUMMYFUNCTION("MIN(FILTER(Z101:Z163,C101:C163&gt;0))"),126843.9333898304)</f>
        <v>126843.9334</v>
      </c>
      <c r="D27" s="95">
        <f>IFERROR(__xludf.DUMMYFUNCTION("MIN(FILTER(Z171:Z233,C171:C233&gt;0))"),-43607.93588131549)</f>
        <v>-43607.93588</v>
      </c>
      <c r="E27" s="95">
        <f>IFERROR(__xludf.DUMMYFUNCTION("MIN(FILTER(Z241:Z303,C241:C303&gt;0))"),89793.0663297601)</f>
        <v>89793.06633</v>
      </c>
    </row>
    <row r="28">
      <c r="A28" s="21" t="s">
        <v>557</v>
      </c>
    </row>
    <row r="30">
      <c r="A30" s="21" t="s">
        <v>304</v>
      </c>
      <c r="B30" s="21" t="s">
        <v>316</v>
      </c>
      <c r="C30" s="21" t="s">
        <v>317</v>
      </c>
      <c r="D30" s="21" t="s">
        <v>329</v>
      </c>
      <c r="E30" s="21" t="s">
        <v>474</v>
      </c>
      <c r="F30" s="21" t="s">
        <v>475</v>
      </c>
      <c r="G30" s="21" t="s">
        <v>476</v>
      </c>
      <c r="H30" s="21" t="s">
        <v>477</v>
      </c>
      <c r="I30" s="21" t="s">
        <v>478</v>
      </c>
      <c r="J30" s="21" t="s">
        <v>332</v>
      </c>
      <c r="K30" s="21" t="s">
        <v>479</v>
      </c>
      <c r="L30" s="21" t="s">
        <v>480</v>
      </c>
      <c r="M30" s="21" t="s">
        <v>335</v>
      </c>
      <c r="N30" s="21" t="s">
        <v>481</v>
      </c>
      <c r="O30" s="21" t="s">
        <v>482</v>
      </c>
      <c r="P30" s="21" t="s">
        <v>483</v>
      </c>
      <c r="Q30" s="21" t="s">
        <v>334</v>
      </c>
      <c r="R30" s="21" t="s">
        <v>484</v>
      </c>
      <c r="S30" s="21" t="s">
        <v>338</v>
      </c>
      <c r="T30" s="21" t="s">
        <v>485</v>
      </c>
      <c r="U30" s="21" t="s">
        <v>486</v>
      </c>
      <c r="V30" s="21" t="s">
        <v>487</v>
      </c>
      <c r="W30" s="21" t="s">
        <v>488</v>
      </c>
      <c r="X30" s="21" t="s">
        <v>489</v>
      </c>
      <c r="Y30" s="21" t="s">
        <v>490</v>
      </c>
      <c r="Z30" s="21" t="s">
        <v>491</v>
      </c>
    </row>
    <row r="31">
      <c r="A31" s="21">
        <v>0.0</v>
      </c>
      <c r="B31" s="96" t="str">
        <f t="array" ref="B31">INDEX('Monthly Base'!$B$5:$B$67,A31+1)</f>
        <v>BUILD</v>
      </c>
      <c r="C31" s="96">
        <f t="array" ref="C31">INDEX('Monthly Base'!$C$5:$C$67,A31+1)</f>
        <v>0</v>
      </c>
      <c r="D31" s="95">
        <f t="array" ref="D31">INDEX('Monthly Base'!$O$5:$O$67,A31+1)</f>
        <v>-20018</v>
      </c>
      <c r="E31" s="95">
        <f t="array" ref="E31">INDEX('Monthly Base'!$Y$5:$Y$67,A31+1)</f>
        <v>0</v>
      </c>
      <c r="F31" s="95">
        <f>'Startup &amp; Funding'!$B$19</f>
        <v>68990.0014</v>
      </c>
      <c r="G31" s="95">
        <f>Inputs!$B$9</f>
        <v>240000</v>
      </c>
      <c r="H31" s="95">
        <f>Inputs!$B$10</f>
        <v>900000</v>
      </c>
      <c r="I31" s="8">
        <f>IF(OR(A31&lt;Inputs!$B$15,G31&lt;=0),0,MIN(Financing!$B$10,G31))</f>
        <v>0</v>
      </c>
      <c r="J31" s="8">
        <f>IF(OR(A31&lt;Inputs!$B$15,H31&lt;=0),0,H31*Inputs!$B$13/12)</f>
        <v>0</v>
      </c>
      <c r="K31" s="8">
        <f>IF(OR(A31&lt;Inputs!$B$15,H31&lt;=0),0,MIN(Financing!$C$10,H31+J31))</f>
        <v>0</v>
      </c>
      <c r="L31" s="8">
        <f t="shared" ref="L31:L93" si="3">I31+K31</f>
        <v>0</v>
      </c>
      <c r="M31" s="21">
        <v>0.0</v>
      </c>
      <c r="N31" s="21">
        <v>0.0</v>
      </c>
      <c r="O31" s="21">
        <v>0.0</v>
      </c>
      <c r="P31" s="8">
        <f t="shared" ref="P31:P93" si="4">(N31+O31)*(1+$B$11)</f>
        <v>0</v>
      </c>
      <c r="Q31" s="95">
        <f>D31-J31-IF(C31=0,0,Inputs!$B$18)-P31</f>
        <v>-20018</v>
      </c>
      <c r="R31" s="8">
        <f>MAX(0,Q31-M31)*Inputs!$B$17</f>
        <v>0</v>
      </c>
      <c r="S31" s="8">
        <f t="shared" ref="S31:S93" si="5">MAX(0,M31-MAX(0,Q31))+MAX(0,-Q31)</f>
        <v>20018</v>
      </c>
      <c r="T31" s="95">
        <f t="shared" ref="T31:T93" si="6">F31+D31+E31-L31-P31-R31</f>
        <v>48972.0014</v>
      </c>
      <c r="U31" s="8">
        <f>IF(AND(Inputs!$B$79=1,B31="OPEN",A31&gt;=Inputs!$B$82,C31&gt;=$B$10,MOD(C31-$B$10,$B$9)=0),MIN(MAX(0,T31-$B$8)*Inputs!$B$81,MAX(0,H31+J31-K31)),0)</f>
        <v>0</v>
      </c>
      <c r="V31" s="8">
        <f>IF(AND(Inputs!$B$79=1,B31="OPEN",A31&gt;=Inputs!$B$82,C31&gt;=$B$10,MOD(C31-$B$10,$B$9)=0),MIN(MAX(0,MAX(0,T31-$B$8)*Inputs!$B$81-U31),MAX(0,G31-I31)),0)</f>
        <v>0</v>
      </c>
      <c r="W31" s="8">
        <f t="shared" ref="W31:W93" si="7">MAX(0,G31-I31-V31)</f>
        <v>240000</v>
      </c>
      <c r="X31" s="8">
        <f t="shared" ref="X31:X93" si="8">MAX(0,H31+J31-K31-U31)</f>
        <v>900000</v>
      </c>
      <c r="Y31" s="8">
        <f t="shared" ref="Y31:Y93" si="9">W31+X31</f>
        <v>1140000</v>
      </c>
      <c r="Z31" s="95">
        <f t="shared" ref="Z31:Z93" si="10">T31-U31-V31</f>
        <v>48972.0014</v>
      </c>
    </row>
    <row r="32">
      <c r="A32" s="8">
        <f t="shared" ref="A32:A93" si="11">A31+1</f>
        <v>1</v>
      </c>
      <c r="B32" s="96" t="str">
        <f t="array" ref="B32">INDEX('Monthly Base'!$B$5:$B$67,A32+1)</f>
        <v>BUILD</v>
      </c>
      <c r="C32" s="96">
        <f t="array" ref="C32">INDEX('Monthly Base'!$C$5:$C$67,A32+1)</f>
        <v>0</v>
      </c>
      <c r="D32" s="95">
        <f t="array" ref="D32">INDEX('Monthly Base'!$O$5:$O$67,A32+1)</f>
        <v>-20018</v>
      </c>
      <c r="E32" s="95">
        <f t="array" ref="E32">INDEX('Monthly Base'!$Y$5:$Y$67,A32+1)</f>
        <v>0</v>
      </c>
      <c r="F32" s="95">
        <f t="shared" ref="F32:F93" si="12">Z31</f>
        <v>48972.0014</v>
      </c>
      <c r="G32" s="8">
        <f t="shared" ref="G32:H32" si="2">W31</f>
        <v>240000</v>
      </c>
      <c r="H32" s="8">
        <f t="shared" si="2"/>
        <v>900000</v>
      </c>
      <c r="I32" s="8">
        <f>IF(OR(A32&lt;Inputs!$B$15,G32&lt;=0),0,MIN(Financing!$B$10,G32))</f>
        <v>0</v>
      </c>
      <c r="J32" s="8">
        <f>IF(OR(A32&lt;Inputs!$B$15,H32&lt;=0),0,H32*Inputs!$B$13/12)</f>
        <v>0</v>
      </c>
      <c r="K32" s="8">
        <f>IF(OR(A32&lt;Inputs!$B$15,H32&lt;=0),0,MIN(Financing!$C$10,H32+J32))</f>
        <v>0</v>
      </c>
      <c r="L32" s="8">
        <f t="shared" si="3"/>
        <v>0</v>
      </c>
      <c r="M32" s="8">
        <f t="shared" ref="M32:M93" si="14">S31</f>
        <v>20018</v>
      </c>
      <c r="N32" s="8">
        <f t="shared" ref="N32:N93" si="15">IF(B32="OPEN",IF(Y31=0,$B$7,IF(AND(C32&gt;0,C32&gt;=$B$5,$B$6&gt;0),$B$6,0)),0)</f>
        <v>0</v>
      </c>
      <c r="O32" s="8">
        <f t="shared" ref="O32:O93" si="16">IF(B32="OPEN",IF(Y31=0,$B$7,IF(AND(C32&gt;0,C32&gt;=$B$5,$B$6&gt;0),$B$6,0)),0)</f>
        <v>0</v>
      </c>
      <c r="P32" s="8">
        <f t="shared" si="4"/>
        <v>0</v>
      </c>
      <c r="Q32" s="95">
        <f>D32-J32-IF(C32=0,0,Inputs!$B$18)-P32</f>
        <v>-20018</v>
      </c>
      <c r="R32" s="8">
        <f>MAX(0,Q32-M32)*Inputs!$B$17</f>
        <v>0</v>
      </c>
      <c r="S32" s="8">
        <f t="shared" si="5"/>
        <v>40036</v>
      </c>
      <c r="T32" s="95">
        <f t="shared" si="6"/>
        <v>28954.0014</v>
      </c>
      <c r="U32" s="8">
        <f>IF(AND(Inputs!$B$79=1,B32="OPEN",A32&gt;=Inputs!$B$82,C32&gt;=$B$10,MOD(C32-$B$10,$B$9)=0),MIN(MAX(0,T32-$B$8)*Inputs!$B$81,MAX(0,H32+J32-K32)),0)</f>
        <v>0</v>
      </c>
      <c r="V32" s="8">
        <f>IF(AND(Inputs!$B$79=1,B32="OPEN",A32&gt;=Inputs!$B$82,C32&gt;=$B$10,MOD(C32-$B$10,$B$9)=0),MIN(MAX(0,MAX(0,T32-$B$8)*Inputs!$B$81-U32),MAX(0,G32-I32)),0)</f>
        <v>0</v>
      </c>
      <c r="W32" s="8">
        <f t="shared" si="7"/>
        <v>240000</v>
      </c>
      <c r="X32" s="8">
        <f t="shared" si="8"/>
        <v>900000</v>
      </c>
      <c r="Y32" s="8">
        <f t="shared" si="9"/>
        <v>1140000</v>
      </c>
      <c r="Z32" s="95">
        <f t="shared" si="10"/>
        <v>28954.0014</v>
      </c>
    </row>
    <row r="33">
      <c r="A33" s="8">
        <f t="shared" si="11"/>
        <v>2</v>
      </c>
      <c r="B33" s="96" t="str">
        <f t="array" ref="B33">INDEX('Monthly Base'!$B$5:$B$67,A33+1)</f>
        <v>BUILD</v>
      </c>
      <c r="C33" s="96">
        <f t="array" ref="C33">INDEX('Monthly Base'!$C$5:$C$67,A33+1)</f>
        <v>0</v>
      </c>
      <c r="D33" s="95">
        <f t="array" ref="D33">INDEX('Monthly Base'!$O$5:$O$67,A33+1)</f>
        <v>-20018</v>
      </c>
      <c r="E33" s="95">
        <f t="array" ref="E33">INDEX('Monthly Base'!$Y$5:$Y$67,A33+1)</f>
        <v>151933.7286</v>
      </c>
      <c r="F33" s="95">
        <f t="shared" si="12"/>
        <v>28954.0014</v>
      </c>
      <c r="G33" s="8">
        <f t="shared" ref="G33:H33" si="13">W32</f>
        <v>240000</v>
      </c>
      <c r="H33" s="8">
        <f t="shared" si="13"/>
        <v>900000</v>
      </c>
      <c r="I33" s="8">
        <f>IF(OR(A33&lt;Inputs!$B$15,G33&lt;=0),0,MIN(Financing!$B$10,G33))</f>
        <v>0</v>
      </c>
      <c r="J33" s="8">
        <f>IF(OR(A33&lt;Inputs!$B$15,H33&lt;=0),0,H33*Inputs!$B$13/12)</f>
        <v>0</v>
      </c>
      <c r="K33" s="8">
        <f>IF(OR(A33&lt;Inputs!$B$15,H33&lt;=0),0,MIN(Financing!$C$10,H33+J33))</f>
        <v>0</v>
      </c>
      <c r="L33" s="8">
        <f t="shared" si="3"/>
        <v>0</v>
      </c>
      <c r="M33" s="8">
        <f t="shared" si="14"/>
        <v>40036</v>
      </c>
      <c r="N33" s="8">
        <f t="shared" si="15"/>
        <v>0</v>
      </c>
      <c r="O33" s="8">
        <f t="shared" si="16"/>
        <v>0</v>
      </c>
      <c r="P33" s="8">
        <f t="shared" si="4"/>
        <v>0</v>
      </c>
      <c r="Q33" s="95">
        <f>D33-J33-IF(C33=0,0,Inputs!$B$18)-P33</f>
        <v>-20018</v>
      </c>
      <c r="R33" s="8">
        <f>MAX(0,Q33-M33)*Inputs!$B$17</f>
        <v>0</v>
      </c>
      <c r="S33" s="8">
        <f t="shared" si="5"/>
        <v>60054</v>
      </c>
      <c r="T33" s="95">
        <f t="shared" si="6"/>
        <v>160869.73</v>
      </c>
      <c r="U33" s="8">
        <f>IF(AND(Inputs!$B$79=1,B33="OPEN",A33&gt;=Inputs!$B$82,C33&gt;=$B$10,MOD(C33-$B$10,$B$9)=0),MIN(MAX(0,T33-$B$8)*Inputs!$B$81,MAX(0,H33+J33-K33)),0)</f>
        <v>0</v>
      </c>
      <c r="V33" s="8">
        <f>IF(AND(Inputs!$B$79=1,B33="OPEN",A33&gt;=Inputs!$B$82,C33&gt;=$B$10,MOD(C33-$B$10,$B$9)=0),MIN(MAX(0,MAX(0,T33-$B$8)*Inputs!$B$81-U33),MAX(0,G33-I33)),0)</f>
        <v>0</v>
      </c>
      <c r="W33" s="8">
        <f t="shared" si="7"/>
        <v>240000</v>
      </c>
      <c r="X33" s="8">
        <f t="shared" si="8"/>
        <v>900000</v>
      </c>
      <c r="Y33" s="8">
        <f t="shared" si="9"/>
        <v>1140000</v>
      </c>
      <c r="Z33" s="95">
        <f t="shared" si="10"/>
        <v>160869.73</v>
      </c>
    </row>
    <row r="34">
      <c r="A34" s="8">
        <f t="shared" si="11"/>
        <v>3</v>
      </c>
      <c r="B34" s="96" t="str">
        <f t="array" ref="B34">INDEX('Monthly Base'!$B$5:$B$67,A34+1)</f>
        <v>OPEN</v>
      </c>
      <c r="C34" s="96">
        <f t="array" ref="C34">INDEX('Monthly Base'!$C$5:$C$67,A34+1)</f>
        <v>1</v>
      </c>
      <c r="D34" s="95">
        <f t="array" ref="D34">INDEX('Monthly Base'!$O$5:$O$67,A34+1)</f>
        <v>-13932.15254</v>
      </c>
      <c r="E34" s="95">
        <f t="array" ref="E34">INDEX('Monthly Base'!$Y$5:$Y$67,A34+1)</f>
        <v>0</v>
      </c>
      <c r="F34" s="95">
        <f t="shared" si="12"/>
        <v>160869.73</v>
      </c>
      <c r="G34" s="8">
        <f t="shared" ref="G34:H34" si="17">W33</f>
        <v>240000</v>
      </c>
      <c r="H34" s="8">
        <f t="shared" si="17"/>
        <v>900000</v>
      </c>
      <c r="I34" s="8">
        <f>IF(OR(A34&lt;Inputs!$B$15,G34&lt;=0),0,MIN(Financing!$B$10,G34))</f>
        <v>0</v>
      </c>
      <c r="J34" s="8">
        <f>IF(OR(A34&lt;Inputs!$B$15,H34&lt;=0),0,H34*Inputs!$B$13/12)</f>
        <v>0</v>
      </c>
      <c r="K34" s="8">
        <f>IF(OR(A34&lt;Inputs!$B$15,H34&lt;=0),0,MIN(Financing!$C$10,H34+J34))</f>
        <v>0</v>
      </c>
      <c r="L34" s="8">
        <f t="shared" si="3"/>
        <v>0</v>
      </c>
      <c r="M34" s="8">
        <f t="shared" si="14"/>
        <v>60054</v>
      </c>
      <c r="N34" s="8">
        <f t="shared" si="15"/>
        <v>0</v>
      </c>
      <c r="O34" s="8">
        <f t="shared" si="16"/>
        <v>0</v>
      </c>
      <c r="P34" s="8">
        <f t="shared" si="4"/>
        <v>0</v>
      </c>
      <c r="Q34" s="95">
        <f>D34-J34-IF(C34=0,0,Inputs!$B$18)-P34</f>
        <v>-20745.15254</v>
      </c>
      <c r="R34" s="8">
        <f>MAX(0,Q34-M34)*Inputs!$B$17</f>
        <v>0</v>
      </c>
      <c r="S34" s="8">
        <f t="shared" si="5"/>
        <v>80799.15254</v>
      </c>
      <c r="T34" s="95">
        <f t="shared" si="6"/>
        <v>146937.5775</v>
      </c>
      <c r="U34" s="8">
        <f>IF(AND(Inputs!$B$79=1,B34="OPEN",A34&gt;=Inputs!$B$82,C34&gt;=$B$10,MOD(C34-$B$10,$B$9)=0),MIN(MAX(0,T34-$B$8)*Inputs!$B$81,MAX(0,H34+J34-K34)),0)</f>
        <v>0</v>
      </c>
      <c r="V34" s="8">
        <f>IF(AND(Inputs!$B$79=1,B34="OPEN",A34&gt;=Inputs!$B$82,C34&gt;=$B$10,MOD(C34-$B$10,$B$9)=0),MIN(MAX(0,MAX(0,T34-$B$8)*Inputs!$B$81-U34),MAX(0,G34-I34)),0)</f>
        <v>0</v>
      </c>
      <c r="W34" s="8">
        <f t="shared" si="7"/>
        <v>240000</v>
      </c>
      <c r="X34" s="8">
        <f t="shared" si="8"/>
        <v>900000</v>
      </c>
      <c r="Y34" s="8">
        <f t="shared" si="9"/>
        <v>1140000</v>
      </c>
      <c r="Z34" s="95">
        <f t="shared" si="10"/>
        <v>146937.5775</v>
      </c>
    </row>
    <row r="35">
      <c r="A35" s="8">
        <f t="shared" si="11"/>
        <v>4</v>
      </c>
      <c r="B35" s="96" t="str">
        <f t="array" ref="B35">INDEX('Monthly Base'!$B$5:$B$67,A35+1)</f>
        <v>OPEN</v>
      </c>
      <c r="C35" s="96">
        <f t="array" ref="C35">INDEX('Monthly Base'!$C$5:$C$67,A35+1)</f>
        <v>2</v>
      </c>
      <c r="D35" s="95">
        <f t="array" ref="D35">INDEX('Monthly Base'!$O$5:$O$67,A35+1)</f>
        <v>-10377.38136</v>
      </c>
      <c r="E35" s="95">
        <f t="array" ref="E35">INDEX('Monthly Base'!$Y$5:$Y$67,A35+1)</f>
        <v>0</v>
      </c>
      <c r="F35" s="95">
        <f t="shared" si="12"/>
        <v>146937.5775</v>
      </c>
      <c r="G35" s="8">
        <f t="shared" ref="G35:H35" si="18">W34</f>
        <v>240000</v>
      </c>
      <c r="H35" s="8">
        <f t="shared" si="18"/>
        <v>900000</v>
      </c>
      <c r="I35" s="8">
        <f>IF(OR(A35&lt;Inputs!$B$15,G35&lt;=0),0,MIN(Financing!$B$10,G35))</f>
        <v>0</v>
      </c>
      <c r="J35" s="8">
        <f>IF(OR(A35&lt;Inputs!$B$15,H35&lt;=0),0,H35*Inputs!$B$13/12)</f>
        <v>0</v>
      </c>
      <c r="K35" s="8">
        <f>IF(OR(A35&lt;Inputs!$B$15,H35&lt;=0),0,MIN(Financing!$C$10,H35+J35))</f>
        <v>0</v>
      </c>
      <c r="L35" s="8">
        <f t="shared" si="3"/>
        <v>0</v>
      </c>
      <c r="M35" s="8">
        <f t="shared" si="14"/>
        <v>80799.15254</v>
      </c>
      <c r="N35" s="8">
        <f t="shared" si="15"/>
        <v>0</v>
      </c>
      <c r="O35" s="8">
        <f t="shared" si="16"/>
        <v>0</v>
      </c>
      <c r="P35" s="8">
        <f t="shared" si="4"/>
        <v>0</v>
      </c>
      <c r="Q35" s="95">
        <f>D35-J35-IF(C35=0,0,Inputs!$B$18)-P35</f>
        <v>-17190.38136</v>
      </c>
      <c r="R35" s="8">
        <f>MAX(0,Q35-M35)*Inputs!$B$17</f>
        <v>0</v>
      </c>
      <c r="S35" s="8">
        <f t="shared" si="5"/>
        <v>97989.5339</v>
      </c>
      <c r="T35" s="95">
        <f t="shared" si="6"/>
        <v>136560.1961</v>
      </c>
      <c r="U35" s="8">
        <f>IF(AND(Inputs!$B$79=1,B35="OPEN",A35&gt;=Inputs!$B$82,C35&gt;=$B$10,MOD(C35-$B$10,$B$9)=0),MIN(MAX(0,T35-$B$8)*Inputs!$B$81,MAX(0,H35+J35-K35)),0)</f>
        <v>0</v>
      </c>
      <c r="V35" s="8">
        <f>IF(AND(Inputs!$B$79=1,B35="OPEN",A35&gt;=Inputs!$B$82,C35&gt;=$B$10,MOD(C35-$B$10,$B$9)=0),MIN(MAX(0,MAX(0,T35-$B$8)*Inputs!$B$81-U35),MAX(0,G35-I35)),0)</f>
        <v>0</v>
      </c>
      <c r="W35" s="8">
        <f t="shared" si="7"/>
        <v>240000</v>
      </c>
      <c r="X35" s="8">
        <f t="shared" si="8"/>
        <v>900000</v>
      </c>
      <c r="Y35" s="8">
        <f t="shared" si="9"/>
        <v>1140000</v>
      </c>
      <c r="Z35" s="95">
        <f t="shared" si="10"/>
        <v>136560.1961</v>
      </c>
    </row>
    <row r="36">
      <c r="A36" s="8">
        <f t="shared" si="11"/>
        <v>5</v>
      </c>
      <c r="B36" s="96" t="str">
        <f t="array" ref="B36">INDEX('Monthly Base'!$B$5:$B$67,A36+1)</f>
        <v>OPEN</v>
      </c>
      <c r="C36" s="96">
        <f t="array" ref="C36">INDEX('Monthly Base'!$C$5:$C$67,A36+1)</f>
        <v>3</v>
      </c>
      <c r="D36" s="95">
        <f t="array" ref="D36">INDEX('Monthly Base'!$O$5:$O$67,A36+1)</f>
        <v>-6635.516949</v>
      </c>
      <c r="E36" s="95">
        <f t="array" ref="E36">INDEX('Monthly Base'!$Y$5:$Y$67,A36+1)</f>
        <v>0</v>
      </c>
      <c r="F36" s="95">
        <f t="shared" si="12"/>
        <v>136560.1961</v>
      </c>
      <c r="G36" s="8">
        <f t="shared" ref="G36:H36" si="19">W35</f>
        <v>240000</v>
      </c>
      <c r="H36" s="8">
        <f t="shared" si="19"/>
        <v>900000</v>
      </c>
      <c r="I36" s="8">
        <f>IF(OR(A36&lt;Inputs!$B$15,G36&lt;=0),0,MIN(Financing!$B$10,G36))</f>
        <v>0</v>
      </c>
      <c r="J36" s="8">
        <f>IF(OR(A36&lt;Inputs!$B$15,H36&lt;=0),0,H36*Inputs!$B$13/12)</f>
        <v>0</v>
      </c>
      <c r="K36" s="8">
        <f>IF(OR(A36&lt;Inputs!$B$15,H36&lt;=0),0,MIN(Financing!$C$10,H36+J36))</f>
        <v>0</v>
      </c>
      <c r="L36" s="8">
        <f t="shared" si="3"/>
        <v>0</v>
      </c>
      <c r="M36" s="8">
        <f t="shared" si="14"/>
        <v>97989.5339</v>
      </c>
      <c r="N36" s="8">
        <f t="shared" si="15"/>
        <v>0</v>
      </c>
      <c r="O36" s="8">
        <f t="shared" si="16"/>
        <v>0</v>
      </c>
      <c r="P36" s="8">
        <f t="shared" si="4"/>
        <v>0</v>
      </c>
      <c r="Q36" s="95">
        <f>D36-J36-IF(C36=0,0,Inputs!$B$18)-P36</f>
        <v>-13448.51695</v>
      </c>
      <c r="R36" s="8">
        <f>MAX(0,Q36-M36)*Inputs!$B$17</f>
        <v>0</v>
      </c>
      <c r="S36" s="8">
        <f t="shared" si="5"/>
        <v>111438.0508</v>
      </c>
      <c r="T36" s="95">
        <f t="shared" si="6"/>
        <v>129924.6792</v>
      </c>
      <c r="U36" s="8">
        <f>IF(AND(Inputs!$B$79=1,B36="OPEN",A36&gt;=Inputs!$B$82,C36&gt;=$B$10,MOD(C36-$B$10,$B$9)=0),MIN(MAX(0,T36-$B$8)*Inputs!$B$81,MAX(0,H36+J36-K36)),0)</f>
        <v>0</v>
      </c>
      <c r="V36" s="8">
        <f>IF(AND(Inputs!$B$79=1,B36="OPEN",A36&gt;=Inputs!$B$82,C36&gt;=$B$10,MOD(C36-$B$10,$B$9)=0),MIN(MAX(0,MAX(0,T36-$B$8)*Inputs!$B$81-U36),MAX(0,G36-I36)),0)</f>
        <v>0</v>
      </c>
      <c r="W36" s="8">
        <f t="shared" si="7"/>
        <v>240000</v>
      </c>
      <c r="X36" s="8">
        <f t="shared" si="8"/>
        <v>900000</v>
      </c>
      <c r="Y36" s="8">
        <f t="shared" si="9"/>
        <v>1140000</v>
      </c>
      <c r="Z36" s="95">
        <f t="shared" si="10"/>
        <v>129924.6792</v>
      </c>
    </row>
    <row r="37">
      <c r="A37" s="8">
        <f t="shared" si="11"/>
        <v>6</v>
      </c>
      <c r="B37" s="96" t="str">
        <f t="array" ref="B37">INDEX('Monthly Base'!$B$5:$B$67,A37+1)</f>
        <v>OPEN</v>
      </c>
      <c r="C37" s="96">
        <f t="array" ref="C37">INDEX('Monthly Base'!$C$5:$C$67,A37+1)</f>
        <v>4</v>
      </c>
      <c r="D37" s="95">
        <f t="array" ref="D37">INDEX('Monthly Base'!$O$5:$O$67,A37+1)</f>
        <v>-3080.745763</v>
      </c>
      <c r="E37" s="95">
        <f t="array" ref="E37">INDEX('Monthly Base'!$Y$5:$Y$67,A37+1)</f>
        <v>0</v>
      </c>
      <c r="F37" s="95">
        <f t="shared" si="12"/>
        <v>129924.6792</v>
      </c>
      <c r="G37" s="8">
        <f t="shared" ref="G37:H37" si="20">W36</f>
        <v>240000</v>
      </c>
      <c r="H37" s="8">
        <f t="shared" si="20"/>
        <v>900000</v>
      </c>
      <c r="I37" s="8">
        <f>IF(OR(A37&lt;Inputs!$B$15,G37&lt;=0),0,MIN(Financing!$B$10,G37))</f>
        <v>0</v>
      </c>
      <c r="J37" s="8">
        <f>IF(OR(A37&lt;Inputs!$B$15,H37&lt;=0),0,H37*Inputs!$B$13/12)</f>
        <v>0</v>
      </c>
      <c r="K37" s="8">
        <f>IF(OR(A37&lt;Inputs!$B$15,H37&lt;=0),0,MIN(Financing!$C$10,H37+J37))</f>
        <v>0</v>
      </c>
      <c r="L37" s="8">
        <f t="shared" si="3"/>
        <v>0</v>
      </c>
      <c r="M37" s="8">
        <f t="shared" si="14"/>
        <v>111438.0508</v>
      </c>
      <c r="N37" s="8">
        <f t="shared" si="15"/>
        <v>0</v>
      </c>
      <c r="O37" s="8">
        <f t="shared" si="16"/>
        <v>0</v>
      </c>
      <c r="P37" s="8">
        <f t="shared" si="4"/>
        <v>0</v>
      </c>
      <c r="Q37" s="95">
        <f>D37-J37-IF(C37=0,0,Inputs!$B$18)-P37</f>
        <v>-9893.745763</v>
      </c>
      <c r="R37" s="8">
        <f>MAX(0,Q37-M37)*Inputs!$B$17</f>
        <v>0</v>
      </c>
      <c r="S37" s="8">
        <f t="shared" si="5"/>
        <v>121331.7966</v>
      </c>
      <c r="T37" s="95">
        <f t="shared" si="6"/>
        <v>126843.9334</v>
      </c>
      <c r="U37" s="8">
        <f>IF(AND(Inputs!$B$79=1,B37="OPEN",A37&gt;=Inputs!$B$82,C37&gt;=$B$10,MOD(C37-$B$10,$B$9)=0),MIN(MAX(0,T37-$B$8)*Inputs!$B$81,MAX(0,H37+J37-K37)),0)</f>
        <v>0</v>
      </c>
      <c r="V37" s="8">
        <f>IF(AND(Inputs!$B$79=1,B37="OPEN",A37&gt;=Inputs!$B$82,C37&gt;=$B$10,MOD(C37-$B$10,$B$9)=0),MIN(MAX(0,MAX(0,T37-$B$8)*Inputs!$B$81-U37),MAX(0,G37-I37)),0)</f>
        <v>0</v>
      </c>
      <c r="W37" s="8">
        <f t="shared" si="7"/>
        <v>240000</v>
      </c>
      <c r="X37" s="8">
        <f t="shared" si="8"/>
        <v>900000</v>
      </c>
      <c r="Y37" s="8">
        <f t="shared" si="9"/>
        <v>1140000</v>
      </c>
      <c r="Z37" s="95">
        <f t="shared" si="10"/>
        <v>126843.9334</v>
      </c>
    </row>
    <row r="38">
      <c r="A38" s="8">
        <f t="shared" si="11"/>
        <v>7</v>
      </c>
      <c r="B38" s="96" t="str">
        <f t="array" ref="B38">INDEX('Monthly Base'!$B$5:$B$67,A38+1)</f>
        <v>OPEN</v>
      </c>
      <c r="C38" s="96">
        <f t="array" ref="C38">INDEX('Monthly Base'!$C$5:$C$67,A38+1)</f>
        <v>5</v>
      </c>
      <c r="D38" s="95">
        <f t="array" ref="D38">INDEX('Monthly Base'!$O$5:$O$67,A38+1)</f>
        <v>474.0254237</v>
      </c>
      <c r="E38" s="95">
        <f t="array" ref="E38">INDEX('Monthly Base'!$Y$5:$Y$67,A38+1)</f>
        <v>0</v>
      </c>
      <c r="F38" s="95">
        <f t="shared" si="12"/>
        <v>126843.9334</v>
      </c>
      <c r="G38" s="8">
        <f t="shared" ref="G38:H38" si="21">W37</f>
        <v>240000</v>
      </c>
      <c r="H38" s="8">
        <f t="shared" si="21"/>
        <v>900000</v>
      </c>
      <c r="I38" s="8">
        <f>IF(OR(A38&lt;Inputs!$B$15,G38&lt;=0),0,MIN(Financing!$B$10,G38))</f>
        <v>0</v>
      </c>
      <c r="J38" s="8">
        <f>IF(OR(A38&lt;Inputs!$B$15,H38&lt;=0),0,H38*Inputs!$B$13/12)</f>
        <v>0</v>
      </c>
      <c r="K38" s="8">
        <f>IF(OR(A38&lt;Inputs!$B$15,H38&lt;=0),0,MIN(Financing!$C$10,H38+J38))</f>
        <v>0</v>
      </c>
      <c r="L38" s="8">
        <f t="shared" si="3"/>
        <v>0</v>
      </c>
      <c r="M38" s="8">
        <f t="shared" si="14"/>
        <v>121331.7966</v>
      </c>
      <c r="N38" s="8">
        <f t="shared" si="15"/>
        <v>0</v>
      </c>
      <c r="O38" s="8">
        <f t="shared" si="16"/>
        <v>0</v>
      </c>
      <c r="P38" s="8">
        <f t="shared" si="4"/>
        <v>0</v>
      </c>
      <c r="Q38" s="95">
        <f>D38-J38-IF(C38=0,0,Inputs!$B$18)-P38</f>
        <v>-6338.974576</v>
      </c>
      <c r="R38" s="8">
        <f>MAX(0,Q38-M38)*Inputs!$B$17</f>
        <v>0</v>
      </c>
      <c r="S38" s="8">
        <f t="shared" si="5"/>
        <v>127670.7712</v>
      </c>
      <c r="T38" s="95">
        <f t="shared" si="6"/>
        <v>127317.9588</v>
      </c>
      <c r="U38" s="8">
        <f>IF(AND(Inputs!$B$79=1,B38="OPEN",A38&gt;=Inputs!$B$82,C38&gt;=$B$10,MOD(C38-$B$10,$B$9)=0),MIN(MAX(0,T38-$B$8)*Inputs!$B$81,MAX(0,H38+J38-K38)),0)</f>
        <v>0</v>
      </c>
      <c r="V38" s="8">
        <f>IF(AND(Inputs!$B$79=1,B38="OPEN",A38&gt;=Inputs!$B$82,C38&gt;=$B$10,MOD(C38-$B$10,$B$9)=0),MIN(MAX(0,MAX(0,T38-$B$8)*Inputs!$B$81-U38),MAX(0,G38-I38)),0)</f>
        <v>0</v>
      </c>
      <c r="W38" s="8">
        <f t="shared" si="7"/>
        <v>240000</v>
      </c>
      <c r="X38" s="8">
        <f t="shared" si="8"/>
        <v>900000</v>
      </c>
      <c r="Y38" s="8">
        <f t="shared" si="9"/>
        <v>1140000</v>
      </c>
      <c r="Z38" s="95">
        <f t="shared" si="10"/>
        <v>127317.9588</v>
      </c>
    </row>
    <row r="39">
      <c r="A39" s="8">
        <f t="shared" si="11"/>
        <v>8</v>
      </c>
      <c r="B39" s="96" t="str">
        <f t="array" ref="B39">INDEX('Monthly Base'!$B$5:$B$67,A39+1)</f>
        <v>OPEN</v>
      </c>
      <c r="C39" s="96">
        <f t="array" ref="C39">INDEX('Monthly Base'!$C$5:$C$67,A39+1)</f>
        <v>6</v>
      </c>
      <c r="D39" s="95">
        <f t="array" ref="D39">INDEX('Monthly Base'!$O$5:$O$67,A39+1)</f>
        <v>4028.79661</v>
      </c>
      <c r="E39" s="95">
        <f t="array" ref="E39">INDEX('Monthly Base'!$Y$5:$Y$67,A39+1)</f>
        <v>0</v>
      </c>
      <c r="F39" s="95">
        <f t="shared" si="12"/>
        <v>127317.9588</v>
      </c>
      <c r="G39" s="8">
        <f t="shared" ref="G39:H39" si="22">W38</f>
        <v>240000</v>
      </c>
      <c r="H39" s="8">
        <f t="shared" si="22"/>
        <v>900000</v>
      </c>
      <c r="I39" s="8">
        <f>IF(OR(A39&lt;Inputs!$B$15,G39&lt;=0),0,MIN(Financing!$B$10,G39))</f>
        <v>0</v>
      </c>
      <c r="J39" s="8">
        <f>IF(OR(A39&lt;Inputs!$B$15,H39&lt;=0),0,H39*Inputs!$B$13/12)</f>
        <v>0</v>
      </c>
      <c r="K39" s="8">
        <f>IF(OR(A39&lt;Inputs!$B$15,H39&lt;=0),0,MIN(Financing!$C$10,H39+J39))</f>
        <v>0</v>
      </c>
      <c r="L39" s="8">
        <f t="shared" si="3"/>
        <v>0</v>
      </c>
      <c r="M39" s="8">
        <f t="shared" si="14"/>
        <v>127670.7712</v>
      </c>
      <c r="N39" s="8">
        <f t="shared" si="15"/>
        <v>0</v>
      </c>
      <c r="O39" s="8">
        <f t="shared" si="16"/>
        <v>0</v>
      </c>
      <c r="P39" s="8">
        <f t="shared" si="4"/>
        <v>0</v>
      </c>
      <c r="Q39" s="95">
        <f>D39-J39-IF(C39=0,0,Inputs!$B$18)-P39</f>
        <v>-2784.20339</v>
      </c>
      <c r="R39" s="8">
        <f>MAX(0,Q39-M39)*Inputs!$B$17</f>
        <v>0</v>
      </c>
      <c r="S39" s="8">
        <f t="shared" si="5"/>
        <v>130454.9746</v>
      </c>
      <c r="T39" s="95">
        <f t="shared" si="6"/>
        <v>131346.7554</v>
      </c>
      <c r="U39" s="8">
        <f>IF(AND(Inputs!$B$79=1,B39="OPEN",A39&gt;=Inputs!$B$82,C39&gt;=$B$10,MOD(C39-$B$10,$B$9)=0),MIN(MAX(0,T39-$B$8)*Inputs!$B$81,MAX(0,H39+J39-K39)),0)</f>
        <v>0</v>
      </c>
      <c r="V39" s="8">
        <f>IF(AND(Inputs!$B$79=1,B39="OPEN",A39&gt;=Inputs!$B$82,C39&gt;=$B$10,MOD(C39-$B$10,$B$9)=0),MIN(MAX(0,MAX(0,T39-$B$8)*Inputs!$B$81-U39),MAX(0,G39-I39)),0)</f>
        <v>0</v>
      </c>
      <c r="W39" s="8">
        <f t="shared" si="7"/>
        <v>240000</v>
      </c>
      <c r="X39" s="8">
        <f t="shared" si="8"/>
        <v>900000</v>
      </c>
      <c r="Y39" s="8">
        <f t="shared" si="9"/>
        <v>1140000</v>
      </c>
      <c r="Z39" s="95">
        <f t="shared" si="10"/>
        <v>131346.7554</v>
      </c>
    </row>
    <row r="40">
      <c r="A40" s="8">
        <f t="shared" si="11"/>
        <v>9</v>
      </c>
      <c r="B40" s="96" t="str">
        <f t="array" ref="B40">INDEX('Monthly Base'!$B$5:$B$67,A40+1)</f>
        <v>OPEN</v>
      </c>
      <c r="C40" s="96">
        <f t="array" ref="C40">INDEX('Monthly Base'!$C$5:$C$67,A40+1)</f>
        <v>7</v>
      </c>
      <c r="D40" s="95">
        <f t="array" ref="D40">INDEX('Monthly Base'!$O$5:$O$67,A40+1)</f>
        <v>7770.661017</v>
      </c>
      <c r="E40" s="95">
        <f t="array" ref="E40">INDEX('Monthly Base'!$Y$5:$Y$67,A40+1)</f>
        <v>0</v>
      </c>
      <c r="F40" s="95">
        <f t="shared" si="12"/>
        <v>131346.7554</v>
      </c>
      <c r="G40" s="8">
        <f t="shared" ref="G40:H40" si="23">W39</f>
        <v>240000</v>
      </c>
      <c r="H40" s="8">
        <f t="shared" si="23"/>
        <v>900000</v>
      </c>
      <c r="I40" s="8">
        <f>IF(OR(A40&lt;Inputs!$B$15,G40&lt;=0),0,MIN(Financing!$B$10,G40))</f>
        <v>0</v>
      </c>
      <c r="J40" s="8">
        <f>IF(OR(A40&lt;Inputs!$B$15,H40&lt;=0),0,H40*Inputs!$B$13/12)</f>
        <v>0</v>
      </c>
      <c r="K40" s="8">
        <f>IF(OR(A40&lt;Inputs!$B$15,H40&lt;=0),0,MIN(Financing!$C$10,H40+J40))</f>
        <v>0</v>
      </c>
      <c r="L40" s="8">
        <f t="shared" si="3"/>
        <v>0</v>
      </c>
      <c r="M40" s="8">
        <f t="shared" si="14"/>
        <v>130454.9746</v>
      </c>
      <c r="N40" s="8">
        <f t="shared" si="15"/>
        <v>0</v>
      </c>
      <c r="O40" s="8">
        <f t="shared" si="16"/>
        <v>0</v>
      </c>
      <c r="P40" s="8">
        <f t="shared" si="4"/>
        <v>0</v>
      </c>
      <c r="Q40" s="95">
        <f>D40-J40-IF(C40=0,0,Inputs!$B$18)-P40</f>
        <v>957.6610169</v>
      </c>
      <c r="R40" s="8">
        <f>MAX(0,Q40-M40)*Inputs!$B$17</f>
        <v>0</v>
      </c>
      <c r="S40" s="8">
        <f t="shared" si="5"/>
        <v>129497.3136</v>
      </c>
      <c r="T40" s="95">
        <f t="shared" si="6"/>
        <v>139117.4164</v>
      </c>
      <c r="U40" s="8">
        <f>IF(AND(Inputs!$B$79=1,B40="OPEN",A40&gt;=Inputs!$B$82,C40&gt;=$B$10,MOD(C40-$B$10,$B$9)=0),MIN(MAX(0,T40-$B$8)*Inputs!$B$81,MAX(0,H40+J40-K40)),0)</f>
        <v>0</v>
      </c>
      <c r="V40" s="8">
        <f>IF(AND(Inputs!$B$79=1,B40="OPEN",A40&gt;=Inputs!$B$82,C40&gt;=$B$10,MOD(C40-$B$10,$B$9)=0),MIN(MAX(0,MAX(0,T40-$B$8)*Inputs!$B$81-U40),MAX(0,G40-I40)),0)</f>
        <v>0</v>
      </c>
      <c r="W40" s="8">
        <f t="shared" si="7"/>
        <v>240000</v>
      </c>
      <c r="X40" s="8">
        <f t="shared" si="8"/>
        <v>900000</v>
      </c>
      <c r="Y40" s="8">
        <f t="shared" si="9"/>
        <v>1140000</v>
      </c>
      <c r="Z40" s="95">
        <f t="shared" si="10"/>
        <v>139117.4164</v>
      </c>
    </row>
    <row r="41">
      <c r="A41" s="8">
        <f t="shared" si="11"/>
        <v>10</v>
      </c>
      <c r="B41" s="96" t="str">
        <f t="array" ref="B41">INDEX('Monthly Base'!$B$5:$B$67,A41+1)</f>
        <v>OPEN</v>
      </c>
      <c r="C41" s="96">
        <f t="array" ref="C41">INDEX('Monthly Base'!$C$5:$C$67,A41+1)</f>
        <v>8</v>
      </c>
      <c r="D41" s="95">
        <f t="array" ref="D41">INDEX('Monthly Base'!$O$5:$O$67,A41+1)</f>
        <v>11325.4322</v>
      </c>
      <c r="E41" s="95">
        <f t="array" ref="E41">INDEX('Monthly Base'!$Y$5:$Y$67,A41+1)</f>
        <v>0</v>
      </c>
      <c r="F41" s="95">
        <f t="shared" si="12"/>
        <v>139117.4164</v>
      </c>
      <c r="G41" s="8">
        <f t="shared" ref="G41:H41" si="24">W40</f>
        <v>240000</v>
      </c>
      <c r="H41" s="8">
        <f t="shared" si="24"/>
        <v>900000</v>
      </c>
      <c r="I41" s="8">
        <f>IF(OR(A41&lt;Inputs!$B$15,G41&lt;=0),0,MIN(Financing!$B$10,G41))</f>
        <v>0</v>
      </c>
      <c r="J41" s="8">
        <f>IF(OR(A41&lt;Inputs!$B$15,H41&lt;=0),0,H41*Inputs!$B$13/12)</f>
        <v>0</v>
      </c>
      <c r="K41" s="8">
        <f>IF(OR(A41&lt;Inputs!$B$15,H41&lt;=0),0,MIN(Financing!$C$10,H41+J41))</f>
        <v>0</v>
      </c>
      <c r="L41" s="8">
        <f t="shared" si="3"/>
        <v>0</v>
      </c>
      <c r="M41" s="8">
        <f t="shared" si="14"/>
        <v>129497.3136</v>
      </c>
      <c r="N41" s="8">
        <f t="shared" si="15"/>
        <v>0</v>
      </c>
      <c r="O41" s="8">
        <f t="shared" si="16"/>
        <v>0</v>
      </c>
      <c r="P41" s="8">
        <f t="shared" si="4"/>
        <v>0</v>
      </c>
      <c r="Q41" s="95">
        <f>D41-J41-IF(C41=0,0,Inputs!$B$18)-P41</f>
        <v>4512.432203</v>
      </c>
      <c r="R41" s="8">
        <f>MAX(0,Q41-M41)*Inputs!$B$17</f>
        <v>0</v>
      </c>
      <c r="S41" s="8">
        <f t="shared" si="5"/>
        <v>124984.8814</v>
      </c>
      <c r="T41" s="95">
        <f t="shared" si="6"/>
        <v>150442.8486</v>
      </c>
      <c r="U41" s="8">
        <f>IF(AND(Inputs!$B$79=1,B41="OPEN",A41&gt;=Inputs!$B$82,C41&gt;=$B$10,MOD(C41-$B$10,$B$9)=0),MIN(MAX(0,T41-$B$8)*Inputs!$B$81,MAX(0,H41+J41-K41)),0)</f>
        <v>0</v>
      </c>
      <c r="V41" s="8">
        <f>IF(AND(Inputs!$B$79=1,B41="OPEN",A41&gt;=Inputs!$B$82,C41&gt;=$B$10,MOD(C41-$B$10,$B$9)=0),MIN(MAX(0,MAX(0,T41-$B$8)*Inputs!$B$81-U41),MAX(0,G41-I41)),0)</f>
        <v>0</v>
      </c>
      <c r="W41" s="8">
        <f t="shared" si="7"/>
        <v>240000</v>
      </c>
      <c r="X41" s="8">
        <f t="shared" si="8"/>
        <v>900000</v>
      </c>
      <c r="Y41" s="8">
        <f t="shared" si="9"/>
        <v>1140000</v>
      </c>
      <c r="Z41" s="95">
        <f t="shared" si="10"/>
        <v>150442.8486</v>
      </c>
    </row>
    <row r="42">
      <c r="A42" s="8">
        <f t="shared" si="11"/>
        <v>11</v>
      </c>
      <c r="B42" s="96" t="str">
        <f t="array" ref="B42">INDEX('Monthly Base'!$B$5:$B$67,A42+1)</f>
        <v>OPEN</v>
      </c>
      <c r="C42" s="96">
        <f t="array" ref="C42">INDEX('Monthly Base'!$C$5:$C$67,A42+1)</f>
        <v>9</v>
      </c>
      <c r="D42" s="95">
        <f t="array" ref="D42">INDEX('Monthly Base'!$O$5:$O$67,A42+1)</f>
        <v>14880.20339</v>
      </c>
      <c r="E42" s="95">
        <f t="array" ref="E42">INDEX('Monthly Base'!$Y$5:$Y$67,A42+1)</f>
        <v>0</v>
      </c>
      <c r="F42" s="95">
        <f t="shared" si="12"/>
        <v>150442.8486</v>
      </c>
      <c r="G42" s="8">
        <f t="shared" ref="G42:H42" si="25">W41</f>
        <v>240000</v>
      </c>
      <c r="H42" s="8">
        <f t="shared" si="25"/>
        <v>900000</v>
      </c>
      <c r="I42" s="8">
        <f>IF(OR(A42&lt;Inputs!$B$15,G42&lt;=0),0,MIN(Financing!$B$10,G42))</f>
        <v>0</v>
      </c>
      <c r="J42" s="8">
        <f>IF(OR(A42&lt;Inputs!$B$15,H42&lt;=0),0,H42*Inputs!$B$13/12)</f>
        <v>0</v>
      </c>
      <c r="K42" s="8">
        <f>IF(OR(A42&lt;Inputs!$B$15,H42&lt;=0),0,MIN(Financing!$C$10,H42+J42))</f>
        <v>0</v>
      </c>
      <c r="L42" s="8">
        <f t="shared" si="3"/>
        <v>0</v>
      </c>
      <c r="M42" s="8">
        <f t="shared" si="14"/>
        <v>124984.8814</v>
      </c>
      <c r="N42" s="8">
        <f t="shared" si="15"/>
        <v>0</v>
      </c>
      <c r="O42" s="8">
        <f t="shared" si="16"/>
        <v>0</v>
      </c>
      <c r="P42" s="8">
        <f t="shared" si="4"/>
        <v>0</v>
      </c>
      <c r="Q42" s="95">
        <f>D42-J42-IF(C42=0,0,Inputs!$B$18)-P42</f>
        <v>8067.20339</v>
      </c>
      <c r="R42" s="8">
        <f>MAX(0,Q42-M42)*Inputs!$B$17</f>
        <v>0</v>
      </c>
      <c r="S42" s="8">
        <f t="shared" si="5"/>
        <v>116917.678</v>
      </c>
      <c r="T42" s="95">
        <f t="shared" si="6"/>
        <v>165323.052</v>
      </c>
      <c r="U42" s="8">
        <f>IF(AND(Inputs!$B$79=1,B42="OPEN",A42&gt;=Inputs!$B$82,C42&gt;=$B$10,MOD(C42-$B$10,$B$9)=0),MIN(MAX(0,T42-$B$8)*Inputs!$B$81,MAX(0,H42+J42-K42)),0)</f>
        <v>0</v>
      </c>
      <c r="V42" s="8">
        <f>IF(AND(Inputs!$B$79=1,B42="OPEN",A42&gt;=Inputs!$B$82,C42&gt;=$B$10,MOD(C42-$B$10,$B$9)=0),MIN(MAX(0,MAX(0,T42-$B$8)*Inputs!$B$81-U42),MAX(0,G42-I42)),0)</f>
        <v>0</v>
      </c>
      <c r="W42" s="8">
        <f t="shared" si="7"/>
        <v>240000</v>
      </c>
      <c r="X42" s="8">
        <f t="shared" si="8"/>
        <v>900000</v>
      </c>
      <c r="Y42" s="8">
        <f t="shared" si="9"/>
        <v>1140000</v>
      </c>
      <c r="Z42" s="95">
        <f t="shared" si="10"/>
        <v>165323.052</v>
      </c>
    </row>
    <row r="43">
      <c r="A43" s="8">
        <f t="shared" si="11"/>
        <v>12</v>
      </c>
      <c r="B43" s="96" t="str">
        <f t="array" ref="B43">INDEX('Monthly Base'!$B$5:$B$67,A43+1)</f>
        <v>OPEN</v>
      </c>
      <c r="C43" s="96">
        <f t="array" ref="C43">INDEX('Monthly Base'!$C$5:$C$67,A43+1)</f>
        <v>10</v>
      </c>
      <c r="D43" s="95">
        <f t="array" ref="D43">INDEX('Monthly Base'!$O$5:$O$67,A43+1)</f>
        <v>18434.97458</v>
      </c>
      <c r="E43" s="95">
        <f t="array" ref="E43">INDEX('Monthly Base'!$Y$5:$Y$67,A43+1)</f>
        <v>0</v>
      </c>
      <c r="F43" s="95">
        <f t="shared" si="12"/>
        <v>165323.052</v>
      </c>
      <c r="G43" s="8">
        <f t="shared" ref="G43:H43" si="26">W42</f>
        <v>240000</v>
      </c>
      <c r="H43" s="8">
        <f t="shared" si="26"/>
        <v>900000</v>
      </c>
      <c r="I43" s="95">
        <f>IF(OR(A43&lt;Inputs!$B$15,G43&lt;=0),0,MIN(Financing!$B$10,G43))</f>
        <v>4000</v>
      </c>
      <c r="J43" s="8">
        <f>IF(OR(A43&lt;Inputs!$B$15,H43&lt;=0),0,H43*Inputs!$B$13/12)</f>
        <v>3562.5</v>
      </c>
      <c r="K43" s="95">
        <f>IF(OR(A43&lt;Inputs!$B$15,H43&lt;=0),0,MIN(Financing!$C$10,H43+J43))</f>
        <v>16881.22078</v>
      </c>
      <c r="L43" s="95">
        <f t="shared" si="3"/>
        <v>20881.22078</v>
      </c>
      <c r="M43" s="8">
        <f t="shared" si="14"/>
        <v>116917.678</v>
      </c>
      <c r="N43" s="8">
        <f t="shared" si="15"/>
        <v>0</v>
      </c>
      <c r="O43" s="8">
        <f t="shared" si="16"/>
        <v>0</v>
      </c>
      <c r="P43" s="8">
        <f t="shared" si="4"/>
        <v>0</v>
      </c>
      <c r="Q43" s="95">
        <f>D43-J43-IF(C43=0,0,Inputs!$B$18)-P43</f>
        <v>8059.474576</v>
      </c>
      <c r="R43" s="8">
        <f>MAX(0,Q43-M43)*Inputs!$B$17</f>
        <v>0</v>
      </c>
      <c r="S43" s="8">
        <f t="shared" si="5"/>
        <v>108858.2034</v>
      </c>
      <c r="T43" s="95">
        <f t="shared" si="6"/>
        <v>162876.8058</v>
      </c>
      <c r="U43" s="8">
        <f>IF(AND(Inputs!$B$79=1,B43="OPEN",A43&gt;=Inputs!$B$82,C43&gt;=$B$10,MOD(C43-$B$10,$B$9)=0),MIN(MAX(0,T43-$B$8)*Inputs!$B$81,MAX(0,H43+J43-K43)),0)</f>
        <v>0</v>
      </c>
      <c r="V43" s="8">
        <f>IF(AND(Inputs!$B$79=1,B43="OPEN",A43&gt;=Inputs!$B$82,C43&gt;=$B$10,MOD(C43-$B$10,$B$9)=0),MIN(MAX(0,MAX(0,T43-$B$8)*Inputs!$B$81-U43),MAX(0,G43-I43)),0)</f>
        <v>0</v>
      </c>
      <c r="W43" s="8">
        <f t="shared" si="7"/>
        <v>236000</v>
      </c>
      <c r="X43" s="8">
        <f t="shared" si="8"/>
        <v>886681.2792</v>
      </c>
      <c r="Y43" s="8">
        <f t="shared" si="9"/>
        <v>1122681.279</v>
      </c>
      <c r="Z43" s="95">
        <f t="shared" si="10"/>
        <v>162876.8058</v>
      </c>
    </row>
    <row r="44">
      <c r="A44" s="8">
        <f t="shared" si="11"/>
        <v>13</v>
      </c>
      <c r="B44" s="96" t="str">
        <f t="array" ref="B44">INDEX('Monthly Base'!$B$5:$B$67,A44+1)</f>
        <v>OPEN</v>
      </c>
      <c r="C44" s="96">
        <f t="array" ref="C44">INDEX('Monthly Base'!$C$5:$C$67,A44+1)</f>
        <v>11</v>
      </c>
      <c r="D44" s="95">
        <f t="array" ref="D44">INDEX('Monthly Base'!$O$5:$O$67,A44+1)</f>
        <v>22176.83898</v>
      </c>
      <c r="E44" s="95">
        <f t="array" ref="E44">INDEX('Monthly Base'!$Y$5:$Y$67,A44+1)</f>
        <v>0</v>
      </c>
      <c r="F44" s="95">
        <f t="shared" si="12"/>
        <v>162876.8058</v>
      </c>
      <c r="G44" s="8">
        <f t="shared" ref="G44:H44" si="27">W43</f>
        <v>236000</v>
      </c>
      <c r="H44" s="8">
        <f t="shared" si="27"/>
        <v>886681.2792</v>
      </c>
      <c r="I44" s="95">
        <f>IF(OR(A44&lt;Inputs!$B$15,G44&lt;=0),0,MIN(Financing!$B$10,G44))</f>
        <v>4000</v>
      </c>
      <c r="J44" s="8">
        <f>IF(OR(A44&lt;Inputs!$B$15,H44&lt;=0),0,H44*Inputs!$B$13/12)</f>
        <v>3509.780064</v>
      </c>
      <c r="K44" s="95">
        <f>IF(OR(A44&lt;Inputs!$B$15,H44&lt;=0),0,MIN(Financing!$C$10,H44+J44))</f>
        <v>16881.22078</v>
      </c>
      <c r="L44" s="95">
        <f t="shared" si="3"/>
        <v>20881.22078</v>
      </c>
      <c r="M44" s="8">
        <f t="shared" si="14"/>
        <v>108858.2034</v>
      </c>
      <c r="N44" s="8">
        <f t="shared" si="15"/>
        <v>0</v>
      </c>
      <c r="O44" s="8">
        <f t="shared" si="16"/>
        <v>0</v>
      </c>
      <c r="P44" s="8">
        <f t="shared" si="4"/>
        <v>0</v>
      </c>
      <c r="Q44" s="95">
        <f>D44-J44-IF(C44=0,0,Inputs!$B$18)-P44</f>
        <v>11854.05892</v>
      </c>
      <c r="R44" s="8">
        <f>MAX(0,Q44-M44)*Inputs!$B$17</f>
        <v>0</v>
      </c>
      <c r="S44" s="8">
        <f t="shared" si="5"/>
        <v>97004.14447</v>
      </c>
      <c r="T44" s="95">
        <f t="shared" si="6"/>
        <v>164172.424</v>
      </c>
      <c r="U44" s="8">
        <f>IF(AND(Inputs!$B$79=1,B44="OPEN",A44&gt;=Inputs!$B$82,C44&gt;=$B$10,MOD(C44-$B$10,$B$9)=0),MIN(MAX(0,T44-$B$8)*Inputs!$B$81,MAX(0,H44+J44-K44)),0)</f>
        <v>0</v>
      </c>
      <c r="V44" s="8">
        <f>IF(AND(Inputs!$B$79=1,B44="OPEN",A44&gt;=Inputs!$B$82,C44&gt;=$B$10,MOD(C44-$B$10,$B$9)=0),MIN(MAX(0,MAX(0,T44-$B$8)*Inputs!$B$81-U44),MAX(0,G44-I44)),0)</f>
        <v>0</v>
      </c>
      <c r="W44" s="8">
        <f t="shared" si="7"/>
        <v>232000</v>
      </c>
      <c r="X44" s="8">
        <f t="shared" si="8"/>
        <v>873309.8385</v>
      </c>
      <c r="Y44" s="8">
        <f t="shared" si="9"/>
        <v>1105309.839</v>
      </c>
      <c r="Z44" s="95">
        <f t="shared" si="10"/>
        <v>164172.424</v>
      </c>
    </row>
    <row r="45">
      <c r="A45" s="8">
        <f t="shared" si="11"/>
        <v>14</v>
      </c>
      <c r="B45" s="96" t="str">
        <f t="array" ref="B45">INDEX('Monthly Base'!$B$5:$B$67,A45+1)</f>
        <v>OPEN</v>
      </c>
      <c r="C45" s="96">
        <f t="array" ref="C45">INDEX('Monthly Base'!$C$5:$C$67,A45+1)</f>
        <v>12</v>
      </c>
      <c r="D45" s="95">
        <f t="array" ref="D45">INDEX('Monthly Base'!$O$5:$O$67,A45+1)</f>
        <v>25731.61017</v>
      </c>
      <c r="E45" s="95">
        <f t="array" ref="E45">INDEX('Monthly Base'!$Y$5:$Y$67,A45+1)</f>
        <v>0</v>
      </c>
      <c r="F45" s="95">
        <f t="shared" si="12"/>
        <v>164172.424</v>
      </c>
      <c r="G45" s="8">
        <f t="shared" ref="G45:H45" si="28">W44</f>
        <v>232000</v>
      </c>
      <c r="H45" s="8">
        <f t="shared" si="28"/>
        <v>873309.8385</v>
      </c>
      <c r="I45" s="95">
        <f>IF(OR(A45&lt;Inputs!$B$15,G45&lt;=0),0,MIN(Financing!$B$10,G45))</f>
        <v>4000</v>
      </c>
      <c r="J45" s="8">
        <f>IF(OR(A45&lt;Inputs!$B$15,H45&lt;=0),0,H45*Inputs!$B$13/12)</f>
        <v>3456.851444</v>
      </c>
      <c r="K45" s="95">
        <f>IF(OR(A45&lt;Inputs!$B$15,H45&lt;=0),0,MIN(Financing!$C$10,H45+J45))</f>
        <v>16881.22078</v>
      </c>
      <c r="L45" s="95">
        <f t="shared" si="3"/>
        <v>20881.22078</v>
      </c>
      <c r="M45" s="8">
        <f t="shared" si="14"/>
        <v>97004.14447</v>
      </c>
      <c r="N45" s="8">
        <f t="shared" si="15"/>
        <v>0</v>
      </c>
      <c r="O45" s="8">
        <f t="shared" si="16"/>
        <v>0</v>
      </c>
      <c r="P45" s="8">
        <f t="shared" si="4"/>
        <v>0</v>
      </c>
      <c r="Q45" s="95">
        <f>D45-J45-IF(C45=0,0,Inputs!$B$18)-P45</f>
        <v>15461.75873</v>
      </c>
      <c r="R45" s="8">
        <f>MAX(0,Q45-M45)*Inputs!$B$17</f>
        <v>0</v>
      </c>
      <c r="S45" s="8">
        <f t="shared" si="5"/>
        <v>81542.38574</v>
      </c>
      <c r="T45" s="95">
        <f t="shared" si="6"/>
        <v>169022.8134</v>
      </c>
      <c r="U45" s="8">
        <f>IF(AND(Inputs!$B$79=1,B45="OPEN",A45&gt;=Inputs!$B$82,C45&gt;=$B$10,MOD(C45-$B$10,$B$9)=0),MIN(MAX(0,T45-$B$8)*Inputs!$B$81,MAX(0,H45+J45-K45)),0)</f>
        <v>19022.81342</v>
      </c>
      <c r="V45" s="8">
        <f>IF(AND(Inputs!$B$79=1,B45="OPEN",A45&gt;=Inputs!$B$82,C45&gt;=$B$10,MOD(C45-$B$10,$B$9)=0),MIN(MAX(0,MAX(0,T45-$B$8)*Inputs!$B$81-U45),MAX(0,G45-I45)),0)</f>
        <v>0</v>
      </c>
      <c r="W45" s="8">
        <f t="shared" si="7"/>
        <v>228000</v>
      </c>
      <c r="X45" s="8">
        <f t="shared" si="8"/>
        <v>840862.6557</v>
      </c>
      <c r="Y45" s="8">
        <f t="shared" si="9"/>
        <v>1068862.656</v>
      </c>
      <c r="Z45" s="95">
        <f t="shared" si="10"/>
        <v>150000</v>
      </c>
    </row>
    <row r="46">
      <c r="A46" s="8">
        <f t="shared" si="11"/>
        <v>15</v>
      </c>
      <c r="B46" s="96" t="str">
        <f t="array" ref="B46">INDEX('Monthly Base'!$B$5:$B$67,A46+1)</f>
        <v>OPEN</v>
      </c>
      <c r="C46" s="96">
        <f t="array" ref="C46">INDEX('Monthly Base'!$C$5:$C$67,A46+1)</f>
        <v>13</v>
      </c>
      <c r="D46" s="95">
        <f t="array" ref="D46">INDEX('Monthly Base'!$O$5:$O$67,A46+1)</f>
        <v>28163.82203</v>
      </c>
      <c r="E46" s="95">
        <f t="array" ref="E46">INDEX('Monthly Base'!$Y$5:$Y$67,A46+1)</f>
        <v>0</v>
      </c>
      <c r="F46" s="95">
        <f t="shared" si="12"/>
        <v>150000</v>
      </c>
      <c r="G46" s="8">
        <f t="shared" ref="G46:H46" si="29">W45</f>
        <v>228000</v>
      </c>
      <c r="H46" s="8">
        <f t="shared" si="29"/>
        <v>840862.6557</v>
      </c>
      <c r="I46" s="95">
        <f>IF(OR(A46&lt;Inputs!$B$15,G46&lt;=0),0,MIN(Financing!$B$10,G46))</f>
        <v>4000</v>
      </c>
      <c r="J46" s="8">
        <f>IF(OR(A46&lt;Inputs!$B$15,H46&lt;=0),0,H46*Inputs!$B$13/12)</f>
        <v>3328.414679</v>
      </c>
      <c r="K46" s="95">
        <f>IF(OR(A46&lt;Inputs!$B$15,H46&lt;=0),0,MIN(Financing!$C$10,H46+J46))</f>
        <v>16881.22078</v>
      </c>
      <c r="L46" s="95">
        <f t="shared" si="3"/>
        <v>20881.22078</v>
      </c>
      <c r="M46" s="8">
        <f t="shared" si="14"/>
        <v>81542.38574</v>
      </c>
      <c r="N46" s="8">
        <f t="shared" si="15"/>
        <v>0</v>
      </c>
      <c r="O46" s="8">
        <f t="shared" si="16"/>
        <v>0</v>
      </c>
      <c r="P46" s="8">
        <f t="shared" si="4"/>
        <v>0</v>
      </c>
      <c r="Q46" s="95">
        <f>D46-J46-IF(C46=0,0,Inputs!$B$18)-P46</f>
        <v>18022.40735</v>
      </c>
      <c r="R46" s="8">
        <f>MAX(0,Q46-M46)*Inputs!$B$17</f>
        <v>0</v>
      </c>
      <c r="S46" s="8">
        <f t="shared" si="5"/>
        <v>63519.97839</v>
      </c>
      <c r="T46" s="95">
        <f t="shared" si="6"/>
        <v>157282.6013</v>
      </c>
      <c r="U46" s="8">
        <f>IF(AND(Inputs!$B$79=1,B46="OPEN",A46&gt;=Inputs!$B$82,C46&gt;=$B$10,MOD(C46-$B$10,$B$9)=0),MIN(MAX(0,T46-$B$8)*Inputs!$B$81,MAX(0,H46+J46-K46)),0)</f>
        <v>0</v>
      </c>
      <c r="V46" s="8">
        <f>IF(AND(Inputs!$B$79=1,B46="OPEN",A46&gt;=Inputs!$B$82,C46&gt;=$B$10,MOD(C46-$B$10,$B$9)=0),MIN(MAX(0,MAX(0,T46-$B$8)*Inputs!$B$81-U46),MAX(0,G46-I46)),0)</f>
        <v>0</v>
      </c>
      <c r="W46" s="8">
        <f t="shared" si="7"/>
        <v>224000</v>
      </c>
      <c r="X46" s="8">
        <f t="shared" si="8"/>
        <v>827309.8496</v>
      </c>
      <c r="Y46" s="8">
        <f t="shared" si="9"/>
        <v>1051309.85</v>
      </c>
      <c r="Z46" s="95">
        <f t="shared" si="10"/>
        <v>157282.6013</v>
      </c>
    </row>
    <row r="47">
      <c r="A47" s="8">
        <f t="shared" si="11"/>
        <v>16</v>
      </c>
      <c r="B47" s="96" t="str">
        <f t="array" ref="B47">INDEX('Monthly Base'!$B$5:$B$67,A47+1)</f>
        <v>OPEN</v>
      </c>
      <c r="C47" s="96">
        <f t="array" ref="C47">INDEX('Monthly Base'!$C$5:$C$67,A47+1)</f>
        <v>14</v>
      </c>
      <c r="D47" s="95">
        <f t="array" ref="D47">INDEX('Monthly Base'!$O$5:$O$67,A47+1)</f>
        <v>30408.94068</v>
      </c>
      <c r="E47" s="95">
        <f t="array" ref="E47">INDEX('Monthly Base'!$Y$5:$Y$67,A47+1)</f>
        <v>0</v>
      </c>
      <c r="F47" s="95">
        <f t="shared" si="12"/>
        <v>157282.6013</v>
      </c>
      <c r="G47" s="8">
        <f t="shared" ref="G47:H47" si="30">W46</f>
        <v>224000</v>
      </c>
      <c r="H47" s="8">
        <f t="shared" si="30"/>
        <v>827309.8496</v>
      </c>
      <c r="I47" s="95">
        <f>IF(OR(A47&lt;Inputs!$B$15,G47&lt;=0),0,MIN(Financing!$B$10,G47))</f>
        <v>4000</v>
      </c>
      <c r="J47" s="8">
        <f>IF(OR(A47&lt;Inputs!$B$15,H47&lt;=0),0,H47*Inputs!$B$13/12)</f>
        <v>3274.768155</v>
      </c>
      <c r="K47" s="95">
        <f>IF(OR(A47&lt;Inputs!$B$15,H47&lt;=0),0,MIN(Financing!$C$10,H47+J47))</f>
        <v>16881.22078</v>
      </c>
      <c r="L47" s="95">
        <f t="shared" si="3"/>
        <v>20881.22078</v>
      </c>
      <c r="M47" s="8">
        <f t="shared" si="14"/>
        <v>63519.97839</v>
      </c>
      <c r="N47" s="8">
        <f t="shared" si="15"/>
        <v>0</v>
      </c>
      <c r="O47" s="8">
        <f t="shared" si="16"/>
        <v>0</v>
      </c>
      <c r="P47" s="8">
        <f t="shared" si="4"/>
        <v>0</v>
      </c>
      <c r="Q47" s="95">
        <f>D47-J47-IF(C47=0,0,Inputs!$B$18)-P47</f>
        <v>20321.17252</v>
      </c>
      <c r="R47" s="8">
        <f>MAX(0,Q47-M47)*Inputs!$B$17</f>
        <v>0</v>
      </c>
      <c r="S47" s="8">
        <f t="shared" si="5"/>
        <v>43198.80587</v>
      </c>
      <c r="T47" s="95">
        <f t="shared" si="6"/>
        <v>166810.3211</v>
      </c>
      <c r="U47" s="8">
        <f>IF(AND(Inputs!$B$79=1,B47="OPEN",A47&gt;=Inputs!$B$82,C47&gt;=$B$10,MOD(C47-$B$10,$B$9)=0),MIN(MAX(0,T47-$B$8)*Inputs!$B$81,MAX(0,H47+J47-K47)),0)</f>
        <v>0</v>
      </c>
      <c r="V47" s="8">
        <f>IF(AND(Inputs!$B$79=1,B47="OPEN",A47&gt;=Inputs!$B$82,C47&gt;=$B$10,MOD(C47-$B$10,$B$9)=0),MIN(MAX(0,MAX(0,T47-$B$8)*Inputs!$B$81-U47),MAX(0,G47-I47)),0)</f>
        <v>0</v>
      </c>
      <c r="W47" s="8">
        <f t="shared" si="7"/>
        <v>220000</v>
      </c>
      <c r="X47" s="8">
        <f t="shared" si="8"/>
        <v>813703.397</v>
      </c>
      <c r="Y47" s="8">
        <f t="shared" si="9"/>
        <v>1033703.397</v>
      </c>
      <c r="Z47" s="95">
        <f t="shared" si="10"/>
        <v>166810.3211</v>
      </c>
    </row>
    <row r="48">
      <c r="A48" s="8">
        <f t="shared" si="11"/>
        <v>17</v>
      </c>
      <c r="B48" s="96" t="str">
        <f t="array" ref="B48">INDEX('Monthly Base'!$B$5:$B$67,A48+1)</f>
        <v>OPEN</v>
      </c>
      <c r="C48" s="96">
        <f t="array" ref="C48">INDEX('Monthly Base'!$C$5:$C$67,A48+1)</f>
        <v>15</v>
      </c>
      <c r="D48" s="95">
        <f t="array" ref="D48">INDEX('Monthly Base'!$O$5:$O$67,A48+1)</f>
        <v>32841.15254</v>
      </c>
      <c r="E48" s="95">
        <f t="array" ref="E48">INDEX('Monthly Base'!$Y$5:$Y$67,A48+1)</f>
        <v>0</v>
      </c>
      <c r="F48" s="95">
        <f t="shared" si="12"/>
        <v>166810.3211</v>
      </c>
      <c r="G48" s="8">
        <f t="shared" ref="G48:H48" si="31">W47</f>
        <v>220000</v>
      </c>
      <c r="H48" s="8">
        <f t="shared" si="31"/>
        <v>813703.397</v>
      </c>
      <c r="I48" s="95">
        <f>IF(OR(A48&lt;Inputs!$B$15,G48&lt;=0),0,MIN(Financing!$B$10,G48))</f>
        <v>4000</v>
      </c>
      <c r="J48" s="8">
        <f>IF(OR(A48&lt;Inputs!$B$15,H48&lt;=0),0,H48*Inputs!$B$13/12)</f>
        <v>3220.90928</v>
      </c>
      <c r="K48" s="95">
        <f>IF(OR(A48&lt;Inputs!$B$15,H48&lt;=0),0,MIN(Financing!$C$10,H48+J48))</f>
        <v>16881.22078</v>
      </c>
      <c r="L48" s="95">
        <f t="shared" si="3"/>
        <v>20881.22078</v>
      </c>
      <c r="M48" s="8">
        <f t="shared" si="14"/>
        <v>43198.80587</v>
      </c>
      <c r="N48" s="8">
        <f t="shared" si="15"/>
        <v>0</v>
      </c>
      <c r="O48" s="8">
        <f t="shared" si="16"/>
        <v>0</v>
      </c>
      <c r="P48" s="8">
        <f t="shared" si="4"/>
        <v>0</v>
      </c>
      <c r="Q48" s="95">
        <f>D48-J48-IF(C48=0,0,Inputs!$B$18)-P48</f>
        <v>22807.24326</v>
      </c>
      <c r="R48" s="8">
        <f>MAX(0,Q48-M48)*Inputs!$B$17</f>
        <v>0</v>
      </c>
      <c r="S48" s="8">
        <f t="shared" si="5"/>
        <v>20391.5626</v>
      </c>
      <c r="T48" s="95">
        <f t="shared" si="6"/>
        <v>178770.2529</v>
      </c>
      <c r="U48" s="8">
        <f>IF(AND(Inputs!$B$79=1,B48="OPEN",A48&gt;=Inputs!$B$82,C48&gt;=$B$10,MOD(C48-$B$10,$B$9)=0),MIN(MAX(0,T48-$B$8)*Inputs!$B$81,MAX(0,H48+J48-K48)),0)</f>
        <v>0</v>
      </c>
      <c r="V48" s="8">
        <f>IF(AND(Inputs!$B$79=1,B48="OPEN",A48&gt;=Inputs!$B$82,C48&gt;=$B$10,MOD(C48-$B$10,$B$9)=0),MIN(MAX(0,MAX(0,T48-$B$8)*Inputs!$B$81-U48),MAX(0,G48-I48)),0)</f>
        <v>0</v>
      </c>
      <c r="W48" s="8">
        <f t="shared" si="7"/>
        <v>216000</v>
      </c>
      <c r="X48" s="8">
        <f t="shared" si="8"/>
        <v>800043.0855</v>
      </c>
      <c r="Y48" s="8">
        <f t="shared" si="9"/>
        <v>1016043.086</v>
      </c>
      <c r="Z48" s="95">
        <f t="shared" si="10"/>
        <v>178770.2529</v>
      </c>
    </row>
    <row r="49">
      <c r="A49" s="8">
        <f t="shared" si="11"/>
        <v>18</v>
      </c>
      <c r="B49" s="96" t="str">
        <f t="array" ref="B49">INDEX('Monthly Base'!$B$5:$B$67,A49+1)</f>
        <v>OPEN</v>
      </c>
      <c r="C49" s="96">
        <f t="array" ref="C49">INDEX('Monthly Base'!$C$5:$C$67,A49+1)</f>
        <v>16</v>
      </c>
      <c r="D49" s="95">
        <f t="array" ref="D49">INDEX('Monthly Base'!$O$5:$O$67,A49+1)</f>
        <v>35086.27119</v>
      </c>
      <c r="E49" s="95">
        <f t="array" ref="E49">INDEX('Monthly Base'!$Y$5:$Y$67,A49+1)</f>
        <v>0</v>
      </c>
      <c r="F49" s="95">
        <f t="shared" si="12"/>
        <v>178770.2529</v>
      </c>
      <c r="G49" s="8">
        <f t="shared" ref="G49:H49" si="32">W48</f>
        <v>216000</v>
      </c>
      <c r="H49" s="8">
        <f t="shared" si="32"/>
        <v>800043.0855</v>
      </c>
      <c r="I49" s="95">
        <f>IF(OR(A49&lt;Inputs!$B$15,G49&lt;=0),0,MIN(Financing!$B$10,G49))</f>
        <v>4000</v>
      </c>
      <c r="J49" s="8">
        <f>IF(OR(A49&lt;Inputs!$B$15,H49&lt;=0),0,H49*Inputs!$B$13/12)</f>
        <v>3166.837213</v>
      </c>
      <c r="K49" s="95">
        <f>IF(OR(A49&lt;Inputs!$B$15,H49&lt;=0),0,MIN(Financing!$C$10,H49+J49))</f>
        <v>16881.22078</v>
      </c>
      <c r="L49" s="95">
        <f t="shared" si="3"/>
        <v>20881.22078</v>
      </c>
      <c r="M49" s="8">
        <f t="shared" si="14"/>
        <v>20391.5626</v>
      </c>
      <c r="N49" s="8">
        <f t="shared" si="15"/>
        <v>0</v>
      </c>
      <c r="O49" s="8">
        <f t="shared" si="16"/>
        <v>0</v>
      </c>
      <c r="P49" s="8">
        <f t="shared" si="4"/>
        <v>0</v>
      </c>
      <c r="Q49" s="95">
        <f>D49-J49-IF(C49=0,0,Inputs!$B$18)-P49</f>
        <v>25106.43397</v>
      </c>
      <c r="R49" s="8">
        <f>MAX(0,Q49-M49)*Inputs!$B$17</f>
        <v>1084.420415</v>
      </c>
      <c r="S49" s="8">
        <f t="shared" si="5"/>
        <v>0</v>
      </c>
      <c r="T49" s="95">
        <f t="shared" si="6"/>
        <v>191890.8829</v>
      </c>
      <c r="U49" s="8">
        <f>IF(AND(Inputs!$B$79=1,B49="OPEN",A49&gt;=Inputs!$B$82,C49&gt;=$B$10,MOD(C49-$B$10,$B$9)=0),MIN(MAX(0,T49-$B$8)*Inputs!$B$81,MAX(0,H49+J49-K49)),0)</f>
        <v>0</v>
      </c>
      <c r="V49" s="8">
        <f>IF(AND(Inputs!$B$79=1,B49="OPEN",A49&gt;=Inputs!$B$82,C49&gt;=$B$10,MOD(C49-$B$10,$B$9)=0),MIN(MAX(0,MAX(0,T49-$B$8)*Inputs!$B$81-U49),MAX(0,G49-I49)),0)</f>
        <v>0</v>
      </c>
      <c r="W49" s="8">
        <f t="shared" si="7"/>
        <v>212000</v>
      </c>
      <c r="X49" s="8">
        <f t="shared" si="8"/>
        <v>786328.7019</v>
      </c>
      <c r="Y49" s="8">
        <f t="shared" si="9"/>
        <v>998328.7019</v>
      </c>
      <c r="Z49" s="95">
        <f t="shared" si="10"/>
        <v>191890.8829</v>
      </c>
    </row>
    <row r="50">
      <c r="A50" s="8">
        <f t="shared" si="11"/>
        <v>19</v>
      </c>
      <c r="B50" s="96" t="str">
        <f t="array" ref="B50">INDEX('Monthly Base'!$B$5:$B$67,A50+1)</f>
        <v>OPEN</v>
      </c>
      <c r="C50" s="96">
        <f t="array" ref="C50">INDEX('Monthly Base'!$C$5:$C$67,A50+1)</f>
        <v>17</v>
      </c>
      <c r="D50" s="95">
        <f t="array" ref="D50">INDEX('Monthly Base'!$O$5:$O$67,A50+1)</f>
        <v>37518.48305</v>
      </c>
      <c r="E50" s="95">
        <f t="array" ref="E50">INDEX('Monthly Base'!$Y$5:$Y$67,A50+1)</f>
        <v>0</v>
      </c>
      <c r="F50" s="95">
        <f t="shared" si="12"/>
        <v>191890.8829</v>
      </c>
      <c r="G50" s="8">
        <f t="shared" ref="G50:H50" si="33">W49</f>
        <v>212000</v>
      </c>
      <c r="H50" s="8">
        <f t="shared" si="33"/>
        <v>786328.7019</v>
      </c>
      <c r="I50" s="95">
        <f>IF(OR(A50&lt;Inputs!$B$15,G50&lt;=0),0,MIN(Financing!$B$10,G50))</f>
        <v>4000</v>
      </c>
      <c r="J50" s="8">
        <f>IF(OR(A50&lt;Inputs!$B$15,H50&lt;=0),0,H50*Inputs!$B$13/12)</f>
        <v>3112.551112</v>
      </c>
      <c r="K50" s="95">
        <f>IF(OR(A50&lt;Inputs!$B$15,H50&lt;=0),0,MIN(Financing!$C$10,H50+J50))</f>
        <v>16881.22078</v>
      </c>
      <c r="L50" s="95">
        <f t="shared" si="3"/>
        <v>20881.22078</v>
      </c>
      <c r="M50" s="8">
        <f t="shared" si="14"/>
        <v>0</v>
      </c>
      <c r="N50" s="8">
        <f t="shared" si="15"/>
        <v>0</v>
      </c>
      <c r="O50" s="8">
        <f t="shared" si="16"/>
        <v>0</v>
      </c>
      <c r="P50" s="8">
        <f t="shared" si="4"/>
        <v>0</v>
      </c>
      <c r="Q50" s="95">
        <f>D50-J50-IF(C50=0,0,Inputs!$B$18)-P50</f>
        <v>27592.93194</v>
      </c>
      <c r="R50" s="8">
        <f>MAX(0,Q50-M50)*Inputs!$B$17</f>
        <v>6346.374346</v>
      </c>
      <c r="S50" s="8">
        <f t="shared" si="5"/>
        <v>0</v>
      </c>
      <c r="T50" s="95">
        <f t="shared" si="6"/>
        <v>202181.7708</v>
      </c>
      <c r="U50" s="8">
        <f>IF(AND(Inputs!$B$79=1,B50="OPEN",A50&gt;=Inputs!$B$82,C50&gt;=$B$10,MOD(C50-$B$10,$B$9)=0),MIN(MAX(0,T50-$B$8)*Inputs!$B$81,MAX(0,H50+J50-K50)),0)</f>
        <v>0</v>
      </c>
      <c r="V50" s="8">
        <f>IF(AND(Inputs!$B$79=1,B50="OPEN",A50&gt;=Inputs!$B$82,C50&gt;=$B$10,MOD(C50-$B$10,$B$9)=0),MIN(MAX(0,MAX(0,T50-$B$8)*Inputs!$B$81-U50),MAX(0,G50-I50)),0)</f>
        <v>0</v>
      </c>
      <c r="W50" s="8">
        <f t="shared" si="7"/>
        <v>208000</v>
      </c>
      <c r="X50" s="8">
        <f t="shared" si="8"/>
        <v>772560.0323</v>
      </c>
      <c r="Y50" s="8">
        <f t="shared" si="9"/>
        <v>980560.0323</v>
      </c>
      <c r="Z50" s="95">
        <f t="shared" si="10"/>
        <v>202181.7708</v>
      </c>
    </row>
    <row r="51">
      <c r="A51" s="8">
        <f t="shared" si="11"/>
        <v>20</v>
      </c>
      <c r="B51" s="96" t="str">
        <f t="array" ref="B51">INDEX('Monthly Base'!$B$5:$B$67,A51+1)</f>
        <v>OPEN</v>
      </c>
      <c r="C51" s="96">
        <f t="array" ref="C51">INDEX('Monthly Base'!$C$5:$C$67,A51+1)</f>
        <v>18</v>
      </c>
      <c r="D51" s="95">
        <f t="array" ref="D51">INDEX('Monthly Base'!$O$5:$O$67,A51+1)</f>
        <v>39763.60169</v>
      </c>
      <c r="E51" s="95">
        <f t="array" ref="E51">INDEX('Monthly Base'!$Y$5:$Y$67,A51+1)</f>
        <v>0</v>
      </c>
      <c r="F51" s="95">
        <f t="shared" si="12"/>
        <v>202181.7708</v>
      </c>
      <c r="G51" s="8">
        <f t="shared" ref="G51:H51" si="34">W50</f>
        <v>208000</v>
      </c>
      <c r="H51" s="8">
        <f t="shared" si="34"/>
        <v>772560.0323</v>
      </c>
      <c r="I51" s="95">
        <f>IF(OR(A51&lt;Inputs!$B$15,G51&lt;=0),0,MIN(Financing!$B$10,G51))</f>
        <v>4000</v>
      </c>
      <c r="J51" s="8">
        <f>IF(OR(A51&lt;Inputs!$B$15,H51&lt;=0),0,H51*Inputs!$B$13/12)</f>
        <v>3058.050128</v>
      </c>
      <c r="K51" s="95">
        <f>IF(OR(A51&lt;Inputs!$B$15,H51&lt;=0),0,MIN(Financing!$C$10,H51+J51))</f>
        <v>16881.22078</v>
      </c>
      <c r="L51" s="95">
        <f t="shared" si="3"/>
        <v>20881.22078</v>
      </c>
      <c r="M51" s="8">
        <f t="shared" si="14"/>
        <v>0</v>
      </c>
      <c r="N51" s="8">
        <f t="shared" si="15"/>
        <v>0</v>
      </c>
      <c r="O51" s="8">
        <f t="shared" si="16"/>
        <v>0</v>
      </c>
      <c r="P51" s="8">
        <f t="shared" si="4"/>
        <v>0</v>
      </c>
      <c r="Q51" s="95">
        <f>D51-J51-IF(C51=0,0,Inputs!$B$18)-P51</f>
        <v>29892.55157</v>
      </c>
      <c r="R51" s="8">
        <f>MAX(0,Q51-M51)*Inputs!$B$17</f>
        <v>6875.28686</v>
      </c>
      <c r="S51" s="8">
        <f t="shared" si="5"/>
        <v>0</v>
      </c>
      <c r="T51" s="95">
        <f t="shared" si="6"/>
        <v>214188.8649</v>
      </c>
      <c r="U51" s="8">
        <f>IF(AND(Inputs!$B$79=1,B51="OPEN",A51&gt;=Inputs!$B$82,C51&gt;=$B$10,MOD(C51-$B$10,$B$9)=0),MIN(MAX(0,T51-$B$8)*Inputs!$B$81,MAX(0,H51+J51-K51)),0)</f>
        <v>64188.86488</v>
      </c>
      <c r="V51" s="8">
        <f>IF(AND(Inputs!$B$79=1,B51="OPEN",A51&gt;=Inputs!$B$82,C51&gt;=$B$10,MOD(C51-$B$10,$B$9)=0),MIN(MAX(0,MAX(0,T51-$B$8)*Inputs!$B$81-U51),MAX(0,G51-I51)),0)</f>
        <v>0</v>
      </c>
      <c r="W51" s="8">
        <f t="shared" si="7"/>
        <v>204000</v>
      </c>
      <c r="X51" s="8">
        <f t="shared" si="8"/>
        <v>694547.9967</v>
      </c>
      <c r="Y51" s="8">
        <f t="shared" si="9"/>
        <v>898547.9967</v>
      </c>
      <c r="Z51" s="95">
        <f t="shared" si="10"/>
        <v>150000</v>
      </c>
    </row>
    <row r="52">
      <c r="A52" s="8">
        <f t="shared" si="11"/>
        <v>21</v>
      </c>
      <c r="B52" s="96" t="str">
        <f t="array" ref="B52">INDEX('Monthly Base'!$B$5:$B$67,A52+1)</f>
        <v>OPEN</v>
      </c>
      <c r="C52" s="96">
        <f t="array" ref="C52">INDEX('Monthly Base'!$C$5:$C$67,A52+1)</f>
        <v>19</v>
      </c>
      <c r="D52" s="95">
        <f t="array" ref="D52">INDEX('Monthly Base'!$O$5:$O$67,A52+1)</f>
        <v>42195.81356</v>
      </c>
      <c r="E52" s="95">
        <f t="array" ref="E52">INDEX('Monthly Base'!$Y$5:$Y$67,A52+1)</f>
        <v>0</v>
      </c>
      <c r="F52" s="95">
        <f t="shared" si="12"/>
        <v>150000</v>
      </c>
      <c r="G52" s="8">
        <f t="shared" ref="G52:H52" si="35">W51</f>
        <v>204000</v>
      </c>
      <c r="H52" s="8">
        <f t="shared" si="35"/>
        <v>694547.9967</v>
      </c>
      <c r="I52" s="95">
        <f>IF(OR(A52&lt;Inputs!$B$15,G52&lt;=0),0,MIN(Financing!$B$10,G52))</f>
        <v>4000</v>
      </c>
      <c r="J52" s="8">
        <f>IF(OR(A52&lt;Inputs!$B$15,H52&lt;=0),0,H52*Inputs!$B$13/12)</f>
        <v>2749.252487</v>
      </c>
      <c r="K52" s="95">
        <f>IF(OR(A52&lt;Inputs!$B$15,H52&lt;=0),0,MIN(Financing!$C$10,H52+J52))</f>
        <v>16881.22078</v>
      </c>
      <c r="L52" s="95">
        <f t="shared" si="3"/>
        <v>20881.22078</v>
      </c>
      <c r="M52" s="8">
        <f t="shared" si="14"/>
        <v>0</v>
      </c>
      <c r="N52" s="8">
        <f t="shared" si="15"/>
        <v>0</v>
      </c>
      <c r="O52" s="8">
        <f t="shared" si="16"/>
        <v>0</v>
      </c>
      <c r="P52" s="8">
        <f t="shared" si="4"/>
        <v>0</v>
      </c>
      <c r="Q52" s="95">
        <f>D52-J52-IF(C52=0,0,Inputs!$B$18)-P52</f>
        <v>32633.56107</v>
      </c>
      <c r="R52" s="8">
        <f>MAX(0,Q52-M52)*Inputs!$B$17</f>
        <v>7505.719047</v>
      </c>
      <c r="S52" s="8">
        <f t="shared" si="5"/>
        <v>0</v>
      </c>
      <c r="T52" s="95">
        <f t="shared" si="6"/>
        <v>163808.8737</v>
      </c>
      <c r="U52" s="8">
        <f>IF(AND(Inputs!$B$79=1,B52="OPEN",A52&gt;=Inputs!$B$82,C52&gt;=$B$10,MOD(C52-$B$10,$B$9)=0),MIN(MAX(0,T52-$B$8)*Inputs!$B$81,MAX(0,H52+J52-K52)),0)</f>
        <v>0</v>
      </c>
      <c r="V52" s="8">
        <f>IF(AND(Inputs!$B$79=1,B52="OPEN",A52&gt;=Inputs!$B$82,C52&gt;=$B$10,MOD(C52-$B$10,$B$9)=0),MIN(MAX(0,MAX(0,T52-$B$8)*Inputs!$B$81-U52),MAX(0,G52-I52)),0)</f>
        <v>0</v>
      </c>
      <c r="W52" s="8">
        <f t="shared" si="7"/>
        <v>200000</v>
      </c>
      <c r="X52" s="8">
        <f t="shared" si="8"/>
        <v>680416.0285</v>
      </c>
      <c r="Y52" s="8">
        <f t="shared" si="9"/>
        <v>880416.0285</v>
      </c>
      <c r="Z52" s="95">
        <f t="shared" si="10"/>
        <v>163808.8737</v>
      </c>
    </row>
    <row r="53">
      <c r="A53" s="8">
        <f t="shared" si="11"/>
        <v>22</v>
      </c>
      <c r="B53" s="96" t="str">
        <f t="array" ref="B53">INDEX('Monthly Base'!$B$5:$B$67,A53+1)</f>
        <v>OPEN</v>
      </c>
      <c r="C53" s="96">
        <f t="array" ref="C53">INDEX('Monthly Base'!$C$5:$C$67,A53+1)</f>
        <v>20</v>
      </c>
      <c r="D53" s="95">
        <f t="array" ref="D53">INDEX('Monthly Base'!$O$5:$O$67,A53+1)</f>
        <v>44440.9322</v>
      </c>
      <c r="E53" s="95">
        <f t="array" ref="E53">INDEX('Monthly Base'!$Y$5:$Y$67,A53+1)</f>
        <v>0</v>
      </c>
      <c r="F53" s="95">
        <f t="shared" si="12"/>
        <v>163808.8737</v>
      </c>
      <c r="G53" s="8">
        <f t="shared" ref="G53:H53" si="36">W52</f>
        <v>200000</v>
      </c>
      <c r="H53" s="8">
        <f t="shared" si="36"/>
        <v>680416.0285</v>
      </c>
      <c r="I53" s="95">
        <f>IF(OR(A53&lt;Inputs!$B$15,G53&lt;=0),0,MIN(Financing!$B$10,G53))</f>
        <v>4000</v>
      </c>
      <c r="J53" s="8">
        <f>IF(OR(A53&lt;Inputs!$B$15,H53&lt;=0),0,H53*Inputs!$B$13/12)</f>
        <v>2693.313446</v>
      </c>
      <c r="K53" s="95">
        <f>IF(OR(A53&lt;Inputs!$B$15,H53&lt;=0),0,MIN(Financing!$C$10,H53+J53))</f>
        <v>16881.22078</v>
      </c>
      <c r="L53" s="95">
        <f t="shared" si="3"/>
        <v>20881.22078</v>
      </c>
      <c r="M53" s="8">
        <f t="shared" si="14"/>
        <v>0</v>
      </c>
      <c r="N53" s="8">
        <f t="shared" si="15"/>
        <v>0</v>
      </c>
      <c r="O53" s="8">
        <f t="shared" si="16"/>
        <v>0</v>
      </c>
      <c r="P53" s="8">
        <f t="shared" si="4"/>
        <v>0</v>
      </c>
      <c r="Q53" s="95">
        <f>D53-J53-IF(C53=0,0,Inputs!$B$18)-P53</f>
        <v>34934.61876</v>
      </c>
      <c r="R53" s="8">
        <f>MAX(0,Q53-M53)*Inputs!$B$17</f>
        <v>8034.962314</v>
      </c>
      <c r="S53" s="8">
        <f t="shared" si="5"/>
        <v>0</v>
      </c>
      <c r="T53" s="95">
        <f t="shared" si="6"/>
        <v>179333.6228</v>
      </c>
      <c r="U53" s="8">
        <f>IF(AND(Inputs!$B$79=1,B53="OPEN",A53&gt;=Inputs!$B$82,C53&gt;=$B$10,MOD(C53-$B$10,$B$9)=0),MIN(MAX(0,T53-$B$8)*Inputs!$B$81,MAX(0,H53+J53-K53)),0)</f>
        <v>0</v>
      </c>
      <c r="V53" s="8">
        <f>IF(AND(Inputs!$B$79=1,B53="OPEN",A53&gt;=Inputs!$B$82,C53&gt;=$B$10,MOD(C53-$B$10,$B$9)=0),MIN(MAX(0,MAX(0,T53-$B$8)*Inputs!$B$81-U53),MAX(0,G53-I53)),0)</f>
        <v>0</v>
      </c>
      <c r="W53" s="8">
        <f t="shared" si="7"/>
        <v>196000</v>
      </c>
      <c r="X53" s="8">
        <f t="shared" si="8"/>
        <v>666228.1211</v>
      </c>
      <c r="Y53" s="8">
        <f t="shared" si="9"/>
        <v>862228.1211</v>
      </c>
      <c r="Z53" s="95">
        <f t="shared" si="10"/>
        <v>179333.6228</v>
      </c>
    </row>
    <row r="54">
      <c r="A54" s="8">
        <f t="shared" si="11"/>
        <v>23</v>
      </c>
      <c r="B54" s="96" t="str">
        <f t="array" ref="B54">INDEX('Monthly Base'!$B$5:$B$67,A54+1)</f>
        <v>OPEN</v>
      </c>
      <c r="C54" s="96">
        <f t="array" ref="C54">INDEX('Monthly Base'!$C$5:$C$67,A54+1)</f>
        <v>21</v>
      </c>
      <c r="D54" s="95">
        <f t="array" ref="D54">INDEX('Monthly Base'!$O$5:$O$67,A54+1)</f>
        <v>46873.14407</v>
      </c>
      <c r="E54" s="95">
        <f t="array" ref="E54">INDEX('Monthly Base'!$Y$5:$Y$67,A54+1)</f>
        <v>0</v>
      </c>
      <c r="F54" s="95">
        <f t="shared" si="12"/>
        <v>179333.6228</v>
      </c>
      <c r="G54" s="8">
        <f t="shared" ref="G54:H54" si="37">W53</f>
        <v>196000</v>
      </c>
      <c r="H54" s="8">
        <f t="shared" si="37"/>
        <v>666228.1211</v>
      </c>
      <c r="I54" s="95">
        <f>IF(OR(A54&lt;Inputs!$B$15,G54&lt;=0),0,MIN(Financing!$B$10,G54))</f>
        <v>4000</v>
      </c>
      <c r="J54" s="8">
        <f>IF(OR(A54&lt;Inputs!$B$15,H54&lt;=0),0,H54*Inputs!$B$13/12)</f>
        <v>2637.152979</v>
      </c>
      <c r="K54" s="95">
        <f>IF(OR(A54&lt;Inputs!$B$15,H54&lt;=0),0,MIN(Financing!$C$10,H54+J54))</f>
        <v>16881.22078</v>
      </c>
      <c r="L54" s="95">
        <f t="shared" si="3"/>
        <v>20881.22078</v>
      </c>
      <c r="M54" s="8">
        <f t="shared" si="14"/>
        <v>0</v>
      </c>
      <c r="N54" s="8">
        <f t="shared" si="15"/>
        <v>0</v>
      </c>
      <c r="O54" s="8">
        <f t="shared" si="16"/>
        <v>0</v>
      </c>
      <c r="P54" s="8">
        <f t="shared" si="4"/>
        <v>0</v>
      </c>
      <c r="Q54" s="95">
        <f>D54-J54-IF(C54=0,0,Inputs!$B$18)-P54</f>
        <v>37422.99109</v>
      </c>
      <c r="R54" s="8">
        <f>MAX(0,Q54-M54)*Inputs!$B$17</f>
        <v>8607.28795</v>
      </c>
      <c r="S54" s="8">
        <f t="shared" si="5"/>
        <v>0</v>
      </c>
      <c r="T54" s="95">
        <f t="shared" si="6"/>
        <v>196718.2582</v>
      </c>
      <c r="U54" s="8">
        <f>IF(AND(Inputs!$B$79=1,B54="OPEN",A54&gt;=Inputs!$B$82,C54&gt;=$B$10,MOD(C54-$B$10,$B$9)=0),MIN(MAX(0,T54-$B$8)*Inputs!$B$81,MAX(0,H54+J54-K54)),0)</f>
        <v>0</v>
      </c>
      <c r="V54" s="8">
        <f>IF(AND(Inputs!$B$79=1,B54="OPEN",A54&gt;=Inputs!$B$82,C54&gt;=$B$10,MOD(C54-$B$10,$B$9)=0),MIN(MAX(0,MAX(0,T54-$B$8)*Inputs!$B$81-U54),MAX(0,G54-I54)),0)</f>
        <v>0</v>
      </c>
      <c r="W54" s="8">
        <f t="shared" si="7"/>
        <v>192000</v>
      </c>
      <c r="X54" s="8">
        <f t="shared" si="8"/>
        <v>651984.0533</v>
      </c>
      <c r="Y54" s="8">
        <f t="shared" si="9"/>
        <v>843984.0533</v>
      </c>
      <c r="Z54" s="95">
        <f t="shared" si="10"/>
        <v>196718.2582</v>
      </c>
    </row>
    <row r="55">
      <c r="A55" s="8">
        <f t="shared" si="11"/>
        <v>24</v>
      </c>
      <c r="B55" s="96" t="str">
        <f t="array" ref="B55">INDEX('Monthly Base'!$B$5:$B$67,A55+1)</f>
        <v>OPEN</v>
      </c>
      <c r="C55" s="96">
        <f t="array" ref="C55">INDEX('Monthly Base'!$C$5:$C$67,A55+1)</f>
        <v>22</v>
      </c>
      <c r="D55" s="95">
        <f t="array" ref="D55">INDEX('Monthly Base'!$O$5:$O$67,A55+1)</f>
        <v>49118.26271</v>
      </c>
      <c r="E55" s="95">
        <f t="array" ref="E55">INDEX('Monthly Base'!$Y$5:$Y$67,A55+1)</f>
        <v>0</v>
      </c>
      <c r="F55" s="95">
        <f t="shared" si="12"/>
        <v>196718.2582</v>
      </c>
      <c r="G55" s="8">
        <f t="shared" ref="G55:H55" si="38">W54</f>
        <v>192000</v>
      </c>
      <c r="H55" s="8">
        <f t="shared" si="38"/>
        <v>651984.0533</v>
      </c>
      <c r="I55" s="95">
        <f>IF(OR(A55&lt;Inputs!$B$15,G55&lt;=0),0,MIN(Financing!$B$10,G55))</f>
        <v>4000</v>
      </c>
      <c r="J55" s="8">
        <f>IF(OR(A55&lt;Inputs!$B$15,H55&lt;=0),0,H55*Inputs!$B$13/12)</f>
        <v>2580.770211</v>
      </c>
      <c r="K55" s="95">
        <f>IF(OR(A55&lt;Inputs!$B$15,H55&lt;=0),0,MIN(Financing!$C$10,H55+J55))</f>
        <v>16881.22078</v>
      </c>
      <c r="L55" s="95">
        <f t="shared" si="3"/>
        <v>20881.22078</v>
      </c>
      <c r="M55" s="8">
        <f t="shared" si="14"/>
        <v>0</v>
      </c>
      <c r="N55" s="8">
        <f t="shared" si="15"/>
        <v>0</v>
      </c>
      <c r="O55" s="8">
        <f t="shared" si="16"/>
        <v>0</v>
      </c>
      <c r="P55" s="8">
        <f t="shared" si="4"/>
        <v>0</v>
      </c>
      <c r="Q55" s="95">
        <f>D55-J55-IF(C55=0,0,Inputs!$B$18)-P55</f>
        <v>39724.4925</v>
      </c>
      <c r="R55" s="8">
        <f>MAX(0,Q55-M55)*Inputs!$B$17</f>
        <v>9136.633275</v>
      </c>
      <c r="S55" s="8">
        <f t="shared" si="5"/>
        <v>0</v>
      </c>
      <c r="T55" s="95">
        <f t="shared" si="6"/>
        <v>215818.6668</v>
      </c>
      <c r="U55" s="8">
        <f>IF(AND(Inputs!$B$79=1,B55="OPEN",A55&gt;=Inputs!$B$82,C55&gt;=$B$10,MOD(C55-$B$10,$B$9)=0),MIN(MAX(0,T55-$B$8)*Inputs!$B$81,MAX(0,H55+J55-K55)),0)</f>
        <v>0</v>
      </c>
      <c r="V55" s="8">
        <f>IF(AND(Inputs!$B$79=1,B55="OPEN",A55&gt;=Inputs!$B$82,C55&gt;=$B$10,MOD(C55-$B$10,$B$9)=0),MIN(MAX(0,MAX(0,T55-$B$8)*Inputs!$B$81-U55),MAX(0,G55-I55)),0)</f>
        <v>0</v>
      </c>
      <c r="W55" s="8">
        <f t="shared" si="7"/>
        <v>188000</v>
      </c>
      <c r="X55" s="8">
        <f t="shared" si="8"/>
        <v>637683.6027</v>
      </c>
      <c r="Y55" s="8">
        <f t="shared" si="9"/>
        <v>825683.6027</v>
      </c>
      <c r="Z55" s="95">
        <f t="shared" si="10"/>
        <v>215818.6668</v>
      </c>
    </row>
    <row r="56">
      <c r="A56" s="8">
        <f t="shared" si="11"/>
        <v>25</v>
      </c>
      <c r="B56" s="96" t="str">
        <f t="array" ref="B56">INDEX('Monthly Base'!$B$5:$B$67,A56+1)</f>
        <v>OPEN</v>
      </c>
      <c r="C56" s="96">
        <f t="array" ref="C56">INDEX('Monthly Base'!$C$5:$C$67,A56+1)</f>
        <v>23</v>
      </c>
      <c r="D56" s="95">
        <f t="array" ref="D56">INDEX('Monthly Base'!$O$5:$O$67,A56+1)</f>
        <v>51550.47458</v>
      </c>
      <c r="E56" s="95">
        <f t="array" ref="E56">INDEX('Monthly Base'!$Y$5:$Y$67,A56+1)</f>
        <v>0</v>
      </c>
      <c r="F56" s="95">
        <f t="shared" si="12"/>
        <v>215818.6668</v>
      </c>
      <c r="G56" s="8">
        <f t="shared" ref="G56:H56" si="39">W55</f>
        <v>188000</v>
      </c>
      <c r="H56" s="8">
        <f t="shared" si="39"/>
        <v>637683.6027</v>
      </c>
      <c r="I56" s="95">
        <f>IF(OR(A56&lt;Inputs!$B$15,G56&lt;=0),0,MIN(Financing!$B$10,G56))</f>
        <v>4000</v>
      </c>
      <c r="J56" s="8">
        <f>IF(OR(A56&lt;Inputs!$B$15,H56&lt;=0),0,H56*Inputs!$B$13/12)</f>
        <v>2524.164261</v>
      </c>
      <c r="K56" s="95">
        <f>IF(OR(A56&lt;Inputs!$B$15,H56&lt;=0),0,MIN(Financing!$C$10,H56+J56))</f>
        <v>16881.22078</v>
      </c>
      <c r="L56" s="95">
        <f t="shared" si="3"/>
        <v>20881.22078</v>
      </c>
      <c r="M56" s="8">
        <f t="shared" si="14"/>
        <v>0</v>
      </c>
      <c r="N56" s="8">
        <f t="shared" si="15"/>
        <v>0</v>
      </c>
      <c r="O56" s="8">
        <f t="shared" si="16"/>
        <v>0</v>
      </c>
      <c r="P56" s="8">
        <f t="shared" si="4"/>
        <v>0</v>
      </c>
      <c r="Q56" s="95">
        <f>D56-J56-IF(C56=0,0,Inputs!$B$18)-P56</f>
        <v>42213.31032</v>
      </c>
      <c r="R56" s="8">
        <f>MAX(0,Q56-M56)*Inputs!$B$17</f>
        <v>9709.061373</v>
      </c>
      <c r="S56" s="8">
        <f t="shared" si="5"/>
        <v>0</v>
      </c>
      <c r="T56" s="95">
        <f t="shared" si="6"/>
        <v>236778.8593</v>
      </c>
      <c r="U56" s="8">
        <f>IF(AND(Inputs!$B$79=1,B56="OPEN",A56&gt;=Inputs!$B$82,C56&gt;=$B$10,MOD(C56-$B$10,$B$9)=0),MIN(MAX(0,T56-$B$8)*Inputs!$B$81,MAX(0,H56+J56-K56)),0)</f>
        <v>0</v>
      </c>
      <c r="V56" s="8">
        <f>IF(AND(Inputs!$B$79=1,B56="OPEN",A56&gt;=Inputs!$B$82,C56&gt;=$B$10,MOD(C56-$B$10,$B$9)=0),MIN(MAX(0,MAX(0,T56-$B$8)*Inputs!$B$81-U56),MAX(0,G56-I56)),0)</f>
        <v>0</v>
      </c>
      <c r="W56" s="8">
        <f t="shared" si="7"/>
        <v>184000</v>
      </c>
      <c r="X56" s="8">
        <f t="shared" si="8"/>
        <v>623326.5462</v>
      </c>
      <c r="Y56" s="8">
        <f t="shared" si="9"/>
        <v>807326.5462</v>
      </c>
      <c r="Z56" s="95">
        <f t="shared" si="10"/>
        <v>236778.8593</v>
      </c>
    </row>
    <row r="57">
      <c r="A57" s="8">
        <f t="shared" si="11"/>
        <v>26</v>
      </c>
      <c r="B57" s="96" t="str">
        <f t="array" ref="B57">INDEX('Monthly Base'!$B$5:$B$67,A57+1)</f>
        <v>OPEN</v>
      </c>
      <c r="C57" s="96">
        <f t="array" ref="C57">INDEX('Monthly Base'!$C$5:$C$67,A57+1)</f>
        <v>24</v>
      </c>
      <c r="D57" s="95">
        <f t="array" ref="D57">INDEX('Monthly Base'!$O$5:$O$67,A57+1)</f>
        <v>53795.59322</v>
      </c>
      <c r="E57" s="95">
        <f t="array" ref="E57">INDEX('Monthly Base'!$Y$5:$Y$67,A57+1)</f>
        <v>0</v>
      </c>
      <c r="F57" s="95">
        <f t="shared" si="12"/>
        <v>236778.8593</v>
      </c>
      <c r="G57" s="8">
        <f t="shared" ref="G57:H57" si="40">W56</f>
        <v>184000</v>
      </c>
      <c r="H57" s="8">
        <f t="shared" si="40"/>
        <v>623326.5462</v>
      </c>
      <c r="I57" s="95">
        <f>IF(OR(A57&lt;Inputs!$B$15,G57&lt;=0),0,MIN(Financing!$B$10,G57))</f>
        <v>4000</v>
      </c>
      <c r="J57" s="8">
        <f>IF(OR(A57&lt;Inputs!$B$15,H57&lt;=0),0,H57*Inputs!$B$13/12)</f>
        <v>2467.334245</v>
      </c>
      <c r="K57" s="95">
        <f>IF(OR(A57&lt;Inputs!$B$15,H57&lt;=0),0,MIN(Financing!$C$10,H57+J57))</f>
        <v>16881.22078</v>
      </c>
      <c r="L57" s="95">
        <f t="shared" si="3"/>
        <v>20881.22078</v>
      </c>
      <c r="M57" s="8">
        <f t="shared" si="14"/>
        <v>0</v>
      </c>
      <c r="N57" s="8">
        <f t="shared" si="15"/>
        <v>0</v>
      </c>
      <c r="O57" s="8">
        <f t="shared" si="16"/>
        <v>0</v>
      </c>
      <c r="P57" s="8">
        <f t="shared" si="4"/>
        <v>0</v>
      </c>
      <c r="Q57" s="95">
        <f>D57-J57-IF(C57=0,0,Inputs!$B$18)-P57</f>
        <v>44515.25897</v>
      </c>
      <c r="R57" s="8">
        <f>MAX(0,Q57-M57)*Inputs!$B$17</f>
        <v>10238.50956</v>
      </c>
      <c r="S57" s="8">
        <f t="shared" si="5"/>
        <v>0</v>
      </c>
      <c r="T57" s="95">
        <f t="shared" si="6"/>
        <v>259454.7221</v>
      </c>
      <c r="U57" s="8">
        <f>IF(AND(Inputs!$B$79=1,B57="OPEN",A57&gt;=Inputs!$B$82,C57&gt;=$B$10,MOD(C57-$B$10,$B$9)=0),MIN(MAX(0,T57-$B$8)*Inputs!$B$81,MAX(0,H57+J57-K57)),0)</f>
        <v>109454.7221</v>
      </c>
      <c r="V57" s="8">
        <f>IF(AND(Inputs!$B$79=1,B57="OPEN",A57&gt;=Inputs!$B$82,C57&gt;=$B$10,MOD(C57-$B$10,$B$9)=0),MIN(MAX(0,MAX(0,T57-$B$8)*Inputs!$B$81-U57),MAX(0,G57-I57)),0)</f>
        <v>0</v>
      </c>
      <c r="W57" s="8">
        <f t="shared" si="7"/>
        <v>180000</v>
      </c>
      <c r="X57" s="8">
        <f t="shared" si="8"/>
        <v>499457.9376</v>
      </c>
      <c r="Y57" s="8">
        <f t="shared" si="9"/>
        <v>679457.9376</v>
      </c>
      <c r="Z57" s="95">
        <f t="shared" si="10"/>
        <v>150000</v>
      </c>
    </row>
    <row r="58">
      <c r="A58" s="8">
        <f t="shared" si="11"/>
        <v>27</v>
      </c>
      <c r="B58" s="96" t="str">
        <f t="array" ref="B58">INDEX('Monthly Base'!$B$5:$B$67,A58+1)</f>
        <v>OPEN</v>
      </c>
      <c r="C58" s="96">
        <f t="array" ref="C58">INDEX('Monthly Base'!$C$5:$C$67,A58+1)</f>
        <v>25</v>
      </c>
      <c r="D58" s="95">
        <f t="array" ref="D58">INDEX('Monthly Base'!$O$5:$O$67,A58+1)</f>
        <v>55666.52542</v>
      </c>
      <c r="E58" s="95">
        <f t="array" ref="E58">INDEX('Monthly Base'!$Y$5:$Y$67,A58+1)</f>
        <v>0</v>
      </c>
      <c r="F58" s="95">
        <f t="shared" si="12"/>
        <v>150000</v>
      </c>
      <c r="G58" s="8">
        <f t="shared" ref="G58:H58" si="41">W57</f>
        <v>180000</v>
      </c>
      <c r="H58" s="8">
        <f t="shared" si="41"/>
        <v>499457.9376</v>
      </c>
      <c r="I58" s="95">
        <f>IF(OR(A58&lt;Inputs!$B$15,G58&lt;=0),0,MIN(Financing!$B$10,G58))</f>
        <v>4000</v>
      </c>
      <c r="J58" s="8">
        <f>IF(OR(A58&lt;Inputs!$B$15,H58&lt;=0),0,H58*Inputs!$B$13/12)</f>
        <v>1977.021003</v>
      </c>
      <c r="K58" s="95">
        <f>IF(OR(A58&lt;Inputs!$B$15,H58&lt;=0),0,MIN(Financing!$C$10,H58+J58))</f>
        <v>16881.22078</v>
      </c>
      <c r="L58" s="95">
        <f t="shared" si="3"/>
        <v>20881.22078</v>
      </c>
      <c r="M58" s="8">
        <f t="shared" si="14"/>
        <v>0</v>
      </c>
      <c r="N58" s="8">
        <f t="shared" si="15"/>
        <v>0</v>
      </c>
      <c r="O58" s="8">
        <f t="shared" si="16"/>
        <v>0</v>
      </c>
      <c r="P58" s="8">
        <f t="shared" si="4"/>
        <v>0</v>
      </c>
      <c r="Q58" s="95">
        <f>D58-J58-IF(C58=0,0,Inputs!$B$18)-P58</f>
        <v>46876.50442</v>
      </c>
      <c r="R58" s="8">
        <f>MAX(0,Q58-M58)*Inputs!$B$17</f>
        <v>10781.59602</v>
      </c>
      <c r="S58" s="8">
        <f t="shared" si="5"/>
        <v>0</v>
      </c>
      <c r="T58" s="95">
        <f t="shared" si="6"/>
        <v>174003.7086</v>
      </c>
      <c r="U58" s="8">
        <f>IF(AND(Inputs!$B$79=1,B58="OPEN",A58&gt;=Inputs!$B$82,C58&gt;=$B$10,MOD(C58-$B$10,$B$9)=0),MIN(MAX(0,T58-$B$8)*Inputs!$B$81,MAX(0,H58+J58-K58)),0)</f>
        <v>0</v>
      </c>
      <c r="V58" s="8">
        <f>IF(AND(Inputs!$B$79=1,B58="OPEN",A58&gt;=Inputs!$B$82,C58&gt;=$B$10,MOD(C58-$B$10,$B$9)=0),MIN(MAX(0,MAX(0,T58-$B$8)*Inputs!$B$81-U58),MAX(0,G58-I58)),0)</f>
        <v>0</v>
      </c>
      <c r="W58" s="8">
        <f t="shared" si="7"/>
        <v>176000</v>
      </c>
      <c r="X58" s="8">
        <f t="shared" si="8"/>
        <v>484553.7378</v>
      </c>
      <c r="Y58" s="8">
        <f t="shared" si="9"/>
        <v>660553.7378</v>
      </c>
      <c r="Z58" s="95">
        <f t="shared" si="10"/>
        <v>174003.7086</v>
      </c>
    </row>
    <row r="59">
      <c r="A59" s="8">
        <f t="shared" si="11"/>
        <v>28</v>
      </c>
      <c r="B59" s="96" t="str">
        <f t="array" ref="B59">INDEX('Monthly Base'!$B$5:$B$67,A59+1)</f>
        <v>OPEN</v>
      </c>
      <c r="C59" s="96">
        <f t="array" ref="C59">INDEX('Monthly Base'!$C$5:$C$67,A59+1)</f>
        <v>26</v>
      </c>
      <c r="D59" s="95">
        <f t="array" ref="D59">INDEX('Monthly Base'!$O$5:$O$67,A59+1)</f>
        <v>57724.55085</v>
      </c>
      <c r="E59" s="95">
        <f t="array" ref="E59">INDEX('Monthly Base'!$Y$5:$Y$67,A59+1)</f>
        <v>0</v>
      </c>
      <c r="F59" s="95">
        <f t="shared" si="12"/>
        <v>174003.7086</v>
      </c>
      <c r="G59" s="8">
        <f t="shared" ref="G59:H59" si="42">W58</f>
        <v>176000</v>
      </c>
      <c r="H59" s="8">
        <f t="shared" si="42"/>
        <v>484553.7378</v>
      </c>
      <c r="I59" s="95">
        <f>IF(OR(A59&lt;Inputs!$B$15,G59&lt;=0),0,MIN(Financing!$B$10,G59))</f>
        <v>4000</v>
      </c>
      <c r="J59" s="8">
        <f>IF(OR(A59&lt;Inputs!$B$15,H59&lt;=0),0,H59*Inputs!$B$13/12)</f>
        <v>1918.025212</v>
      </c>
      <c r="K59" s="95">
        <f>IF(OR(A59&lt;Inputs!$B$15,H59&lt;=0),0,MIN(Financing!$C$10,H59+J59))</f>
        <v>16881.22078</v>
      </c>
      <c r="L59" s="95">
        <f t="shared" si="3"/>
        <v>20881.22078</v>
      </c>
      <c r="M59" s="8">
        <f t="shared" si="14"/>
        <v>0</v>
      </c>
      <c r="N59" s="8">
        <f t="shared" si="15"/>
        <v>0</v>
      </c>
      <c r="O59" s="8">
        <f t="shared" si="16"/>
        <v>0</v>
      </c>
      <c r="P59" s="8">
        <f t="shared" si="4"/>
        <v>0</v>
      </c>
      <c r="Q59" s="95">
        <f>D59-J59-IF(C59=0,0,Inputs!$B$18)-P59</f>
        <v>48993.52564</v>
      </c>
      <c r="R59" s="8">
        <f>MAX(0,Q59-M59)*Inputs!$B$17</f>
        <v>11268.5109</v>
      </c>
      <c r="S59" s="8">
        <f t="shared" si="5"/>
        <v>0</v>
      </c>
      <c r="T59" s="95">
        <f t="shared" si="6"/>
        <v>199578.5278</v>
      </c>
      <c r="U59" s="8">
        <f>IF(AND(Inputs!$B$79=1,B59="OPEN",A59&gt;=Inputs!$B$82,C59&gt;=$B$10,MOD(C59-$B$10,$B$9)=0),MIN(MAX(0,T59-$B$8)*Inputs!$B$81,MAX(0,H59+J59-K59)),0)</f>
        <v>0</v>
      </c>
      <c r="V59" s="8">
        <f>IF(AND(Inputs!$B$79=1,B59="OPEN",A59&gt;=Inputs!$B$82,C59&gt;=$B$10,MOD(C59-$B$10,$B$9)=0),MIN(MAX(0,MAX(0,T59-$B$8)*Inputs!$B$81-U59),MAX(0,G59-I59)),0)</f>
        <v>0</v>
      </c>
      <c r="W59" s="8">
        <f t="shared" si="7"/>
        <v>172000</v>
      </c>
      <c r="X59" s="8">
        <f t="shared" si="8"/>
        <v>469590.5422</v>
      </c>
      <c r="Y59" s="8">
        <f t="shared" si="9"/>
        <v>641590.5422</v>
      </c>
      <c r="Z59" s="95">
        <f t="shared" si="10"/>
        <v>199578.5278</v>
      </c>
    </row>
    <row r="60">
      <c r="A60" s="8">
        <f t="shared" si="11"/>
        <v>29</v>
      </c>
      <c r="B60" s="96" t="str">
        <f t="array" ref="B60">INDEX('Monthly Base'!$B$5:$B$67,A60+1)</f>
        <v>OPEN</v>
      </c>
      <c r="C60" s="96">
        <f t="array" ref="C60">INDEX('Monthly Base'!$C$5:$C$67,A60+1)</f>
        <v>27</v>
      </c>
      <c r="D60" s="95">
        <f t="array" ref="D60">INDEX('Monthly Base'!$O$5:$O$67,A60+1)</f>
        <v>59595.48305</v>
      </c>
      <c r="E60" s="95">
        <f t="array" ref="E60">INDEX('Monthly Base'!$Y$5:$Y$67,A60+1)</f>
        <v>0</v>
      </c>
      <c r="F60" s="95">
        <f t="shared" si="12"/>
        <v>199578.5278</v>
      </c>
      <c r="G60" s="8">
        <f t="shared" ref="G60:H60" si="43">W59</f>
        <v>172000</v>
      </c>
      <c r="H60" s="8">
        <f t="shared" si="43"/>
        <v>469590.5422</v>
      </c>
      <c r="I60" s="95">
        <f>IF(OR(A60&lt;Inputs!$B$15,G60&lt;=0),0,MIN(Financing!$B$10,G60))</f>
        <v>4000</v>
      </c>
      <c r="J60" s="8">
        <f>IF(OR(A60&lt;Inputs!$B$15,H60&lt;=0),0,H60*Inputs!$B$13/12)</f>
        <v>1858.795896</v>
      </c>
      <c r="K60" s="95">
        <f>IF(OR(A60&lt;Inputs!$B$15,H60&lt;=0),0,MIN(Financing!$C$10,H60+J60))</f>
        <v>16881.22078</v>
      </c>
      <c r="L60" s="95">
        <f t="shared" si="3"/>
        <v>20881.22078</v>
      </c>
      <c r="M60" s="8">
        <f t="shared" si="14"/>
        <v>0</v>
      </c>
      <c r="N60" s="8">
        <f t="shared" si="15"/>
        <v>0</v>
      </c>
      <c r="O60" s="8">
        <f t="shared" si="16"/>
        <v>0</v>
      </c>
      <c r="P60" s="8">
        <f t="shared" si="4"/>
        <v>0</v>
      </c>
      <c r="Q60" s="95">
        <f>D60-J60-IF(C60=0,0,Inputs!$B$18)-P60</f>
        <v>50923.68715</v>
      </c>
      <c r="R60" s="8">
        <f>MAX(0,Q60-M60)*Inputs!$B$17</f>
        <v>11712.44805</v>
      </c>
      <c r="S60" s="8">
        <f t="shared" si="5"/>
        <v>0</v>
      </c>
      <c r="T60" s="95">
        <f t="shared" si="6"/>
        <v>226580.342</v>
      </c>
      <c r="U60" s="8">
        <f>IF(AND(Inputs!$B$79=1,B60="OPEN",A60&gt;=Inputs!$B$82,C60&gt;=$B$10,MOD(C60-$B$10,$B$9)=0),MIN(MAX(0,T60-$B$8)*Inputs!$B$81,MAX(0,H60+J60-K60)),0)</f>
        <v>0</v>
      </c>
      <c r="V60" s="8">
        <f>IF(AND(Inputs!$B$79=1,B60="OPEN",A60&gt;=Inputs!$B$82,C60&gt;=$B$10,MOD(C60-$B$10,$B$9)=0),MIN(MAX(0,MAX(0,T60-$B$8)*Inputs!$B$81-U60),MAX(0,G60-I60)),0)</f>
        <v>0</v>
      </c>
      <c r="W60" s="8">
        <f t="shared" si="7"/>
        <v>168000</v>
      </c>
      <c r="X60" s="8">
        <f t="shared" si="8"/>
        <v>454568.1173</v>
      </c>
      <c r="Y60" s="8">
        <f t="shared" si="9"/>
        <v>622568.1173</v>
      </c>
      <c r="Z60" s="95">
        <f t="shared" si="10"/>
        <v>226580.342</v>
      </c>
    </row>
    <row r="61">
      <c r="A61" s="8">
        <f t="shared" si="11"/>
        <v>30</v>
      </c>
      <c r="B61" s="96" t="str">
        <f t="array" ref="B61">INDEX('Monthly Base'!$B$5:$B$67,A61+1)</f>
        <v>OPEN</v>
      </c>
      <c r="C61" s="96">
        <f t="array" ref="C61">INDEX('Monthly Base'!$C$5:$C$67,A61+1)</f>
        <v>28</v>
      </c>
      <c r="D61" s="95">
        <f t="array" ref="D61">INDEX('Monthly Base'!$O$5:$O$67,A61+1)</f>
        <v>61653.50847</v>
      </c>
      <c r="E61" s="95">
        <f t="array" ref="E61">INDEX('Monthly Base'!$Y$5:$Y$67,A61+1)</f>
        <v>0</v>
      </c>
      <c r="F61" s="95">
        <f t="shared" si="12"/>
        <v>226580.342</v>
      </c>
      <c r="G61" s="8">
        <f t="shared" ref="G61:H61" si="44">W60</f>
        <v>168000</v>
      </c>
      <c r="H61" s="8">
        <f t="shared" si="44"/>
        <v>454568.1173</v>
      </c>
      <c r="I61" s="95">
        <f>IF(OR(A61&lt;Inputs!$B$15,G61&lt;=0),0,MIN(Financing!$B$10,G61))</f>
        <v>4000</v>
      </c>
      <c r="J61" s="8">
        <f>IF(OR(A61&lt;Inputs!$B$15,H61&lt;=0),0,H61*Inputs!$B$13/12)</f>
        <v>1799.332131</v>
      </c>
      <c r="K61" s="95">
        <f>IF(OR(A61&lt;Inputs!$B$15,H61&lt;=0),0,MIN(Financing!$C$10,H61+J61))</f>
        <v>16881.22078</v>
      </c>
      <c r="L61" s="95">
        <f t="shared" si="3"/>
        <v>20881.22078</v>
      </c>
      <c r="M61" s="8">
        <f t="shared" si="14"/>
        <v>0</v>
      </c>
      <c r="N61" s="8">
        <f t="shared" si="15"/>
        <v>0</v>
      </c>
      <c r="O61" s="8">
        <f t="shared" si="16"/>
        <v>0</v>
      </c>
      <c r="P61" s="8">
        <f t="shared" si="4"/>
        <v>0</v>
      </c>
      <c r="Q61" s="95">
        <f>D61-J61-IF(C61=0,0,Inputs!$B$18)-P61</f>
        <v>53041.17634</v>
      </c>
      <c r="R61" s="8">
        <f>MAX(0,Q61-M61)*Inputs!$B$17</f>
        <v>12199.47056</v>
      </c>
      <c r="S61" s="8">
        <f t="shared" si="5"/>
        <v>0</v>
      </c>
      <c r="T61" s="95">
        <f t="shared" si="6"/>
        <v>255153.1592</v>
      </c>
      <c r="U61" s="8">
        <f>IF(AND(Inputs!$B$79=1,B61="OPEN",A61&gt;=Inputs!$B$82,C61&gt;=$B$10,MOD(C61-$B$10,$B$9)=0),MIN(MAX(0,T61-$B$8)*Inputs!$B$81,MAX(0,H61+J61-K61)),0)</f>
        <v>0</v>
      </c>
      <c r="V61" s="8">
        <f>IF(AND(Inputs!$B$79=1,B61="OPEN",A61&gt;=Inputs!$B$82,C61&gt;=$B$10,MOD(C61-$B$10,$B$9)=0),MIN(MAX(0,MAX(0,T61-$B$8)*Inputs!$B$81-U61),MAX(0,G61-I61)),0)</f>
        <v>0</v>
      </c>
      <c r="W61" s="8">
        <f t="shared" si="7"/>
        <v>164000</v>
      </c>
      <c r="X61" s="8">
        <f t="shared" si="8"/>
        <v>439486.2287</v>
      </c>
      <c r="Y61" s="8">
        <f t="shared" si="9"/>
        <v>603486.2287</v>
      </c>
      <c r="Z61" s="95">
        <f t="shared" si="10"/>
        <v>255153.1592</v>
      </c>
    </row>
    <row r="62">
      <c r="A62" s="8">
        <f t="shared" si="11"/>
        <v>31</v>
      </c>
      <c r="B62" s="96" t="str">
        <f t="array" ref="B62">INDEX('Monthly Base'!$B$5:$B$67,A62+1)</f>
        <v>OPEN</v>
      </c>
      <c r="C62" s="96">
        <f t="array" ref="C62">INDEX('Monthly Base'!$C$5:$C$67,A62+1)</f>
        <v>29</v>
      </c>
      <c r="D62" s="95">
        <f t="array" ref="D62">INDEX('Monthly Base'!$O$5:$O$67,A62+1)</f>
        <v>63524.44068</v>
      </c>
      <c r="E62" s="95">
        <f t="array" ref="E62">INDEX('Monthly Base'!$Y$5:$Y$67,A62+1)</f>
        <v>0</v>
      </c>
      <c r="F62" s="95">
        <f t="shared" si="12"/>
        <v>255153.1592</v>
      </c>
      <c r="G62" s="8">
        <f t="shared" ref="G62:H62" si="45">W61</f>
        <v>164000</v>
      </c>
      <c r="H62" s="8">
        <f t="shared" si="45"/>
        <v>439486.2287</v>
      </c>
      <c r="I62" s="95">
        <f>IF(OR(A62&lt;Inputs!$B$15,G62&lt;=0),0,MIN(Financing!$B$10,G62))</f>
        <v>4000</v>
      </c>
      <c r="J62" s="8">
        <f>IF(OR(A62&lt;Inputs!$B$15,H62&lt;=0),0,H62*Inputs!$B$13/12)</f>
        <v>1739.632989</v>
      </c>
      <c r="K62" s="95">
        <f>IF(OR(A62&lt;Inputs!$B$15,H62&lt;=0),0,MIN(Financing!$C$10,H62+J62))</f>
        <v>16881.22078</v>
      </c>
      <c r="L62" s="95">
        <f t="shared" si="3"/>
        <v>20881.22078</v>
      </c>
      <c r="M62" s="8">
        <f t="shared" si="14"/>
        <v>0</v>
      </c>
      <c r="N62" s="8">
        <f t="shared" si="15"/>
        <v>0</v>
      </c>
      <c r="O62" s="8">
        <f t="shared" si="16"/>
        <v>0</v>
      </c>
      <c r="P62" s="8">
        <f t="shared" si="4"/>
        <v>0</v>
      </c>
      <c r="Q62" s="95">
        <f>D62-J62-IF(C62=0,0,Inputs!$B$18)-P62</f>
        <v>54971.80769</v>
      </c>
      <c r="R62" s="8">
        <f>MAX(0,Q62-M62)*Inputs!$B$17</f>
        <v>12643.51577</v>
      </c>
      <c r="S62" s="8">
        <f t="shared" si="5"/>
        <v>0</v>
      </c>
      <c r="T62" s="95">
        <f t="shared" si="6"/>
        <v>285152.8633</v>
      </c>
      <c r="U62" s="8">
        <f>IF(AND(Inputs!$B$79=1,B62="OPEN",A62&gt;=Inputs!$B$82,C62&gt;=$B$10,MOD(C62-$B$10,$B$9)=0),MIN(MAX(0,T62-$B$8)*Inputs!$B$81,MAX(0,H62+J62-K62)),0)</f>
        <v>0</v>
      </c>
      <c r="V62" s="8">
        <f>IF(AND(Inputs!$B$79=1,B62="OPEN",A62&gt;=Inputs!$B$82,C62&gt;=$B$10,MOD(C62-$B$10,$B$9)=0),MIN(MAX(0,MAX(0,T62-$B$8)*Inputs!$B$81-U62),MAX(0,G62-I62)),0)</f>
        <v>0</v>
      </c>
      <c r="W62" s="8">
        <f t="shared" si="7"/>
        <v>160000</v>
      </c>
      <c r="X62" s="8">
        <f t="shared" si="8"/>
        <v>424344.6409</v>
      </c>
      <c r="Y62" s="8">
        <f t="shared" si="9"/>
        <v>584344.6409</v>
      </c>
      <c r="Z62" s="95">
        <f t="shared" si="10"/>
        <v>285152.8633</v>
      </c>
    </row>
    <row r="63">
      <c r="A63" s="8">
        <f t="shared" si="11"/>
        <v>32</v>
      </c>
      <c r="B63" s="96" t="str">
        <f t="array" ref="B63">INDEX('Monthly Base'!$B$5:$B$67,A63+1)</f>
        <v>OPEN</v>
      </c>
      <c r="C63" s="96">
        <f t="array" ref="C63">INDEX('Monthly Base'!$C$5:$C$67,A63+1)</f>
        <v>30</v>
      </c>
      <c r="D63" s="95">
        <f t="array" ref="D63">INDEX('Monthly Base'!$O$5:$O$67,A63+1)</f>
        <v>65582.4661</v>
      </c>
      <c r="E63" s="95">
        <f t="array" ref="E63">INDEX('Monthly Base'!$Y$5:$Y$67,A63+1)</f>
        <v>0</v>
      </c>
      <c r="F63" s="95">
        <f t="shared" si="12"/>
        <v>285152.8633</v>
      </c>
      <c r="G63" s="8">
        <f t="shared" ref="G63:H63" si="46">W62</f>
        <v>160000</v>
      </c>
      <c r="H63" s="8">
        <f t="shared" si="46"/>
        <v>424344.6409</v>
      </c>
      <c r="I63" s="95">
        <f>IF(OR(A63&lt;Inputs!$B$15,G63&lt;=0),0,MIN(Financing!$B$10,G63))</f>
        <v>4000</v>
      </c>
      <c r="J63" s="8">
        <f>IF(OR(A63&lt;Inputs!$B$15,H63&lt;=0),0,H63*Inputs!$B$13/12)</f>
        <v>1679.697537</v>
      </c>
      <c r="K63" s="95">
        <f>IF(OR(A63&lt;Inputs!$B$15,H63&lt;=0),0,MIN(Financing!$C$10,H63+J63))</f>
        <v>16881.22078</v>
      </c>
      <c r="L63" s="95">
        <f t="shared" si="3"/>
        <v>20881.22078</v>
      </c>
      <c r="M63" s="8">
        <f t="shared" si="14"/>
        <v>0</v>
      </c>
      <c r="N63" s="8">
        <f t="shared" si="15"/>
        <v>0</v>
      </c>
      <c r="O63" s="8">
        <f t="shared" si="16"/>
        <v>0</v>
      </c>
      <c r="P63" s="8">
        <f t="shared" si="4"/>
        <v>0</v>
      </c>
      <c r="Q63" s="95">
        <f>D63-J63-IF(C63=0,0,Inputs!$B$18)-P63</f>
        <v>57089.76856</v>
      </c>
      <c r="R63" s="8">
        <f>MAX(0,Q63-M63)*Inputs!$B$17</f>
        <v>13130.64677</v>
      </c>
      <c r="S63" s="8">
        <f t="shared" si="5"/>
        <v>0</v>
      </c>
      <c r="T63" s="95">
        <f t="shared" si="6"/>
        <v>316723.4618</v>
      </c>
      <c r="U63" s="8">
        <f>IF(AND(Inputs!$B$79=1,B63="OPEN",A63&gt;=Inputs!$B$82,C63&gt;=$B$10,MOD(C63-$B$10,$B$9)=0),MIN(MAX(0,T63-$B$8)*Inputs!$B$81,MAX(0,H63+J63-K63)),0)</f>
        <v>166723.4618</v>
      </c>
      <c r="V63" s="8">
        <f>IF(AND(Inputs!$B$79=1,B63="OPEN",A63&gt;=Inputs!$B$82,C63&gt;=$B$10,MOD(C63-$B$10,$B$9)=0),MIN(MAX(0,MAX(0,T63-$B$8)*Inputs!$B$81-U63),MAX(0,G63-I63)),0)</f>
        <v>0</v>
      </c>
      <c r="W63" s="8">
        <f t="shared" si="7"/>
        <v>156000</v>
      </c>
      <c r="X63" s="8">
        <f t="shared" si="8"/>
        <v>242419.6558</v>
      </c>
      <c r="Y63" s="8">
        <f t="shared" si="9"/>
        <v>398419.6558</v>
      </c>
      <c r="Z63" s="95">
        <f t="shared" si="10"/>
        <v>150000</v>
      </c>
    </row>
    <row r="64">
      <c r="A64" s="8">
        <f t="shared" si="11"/>
        <v>33</v>
      </c>
      <c r="B64" s="96" t="str">
        <f t="array" ref="B64">INDEX('Monthly Base'!$B$5:$B$67,A64+1)</f>
        <v>OPEN</v>
      </c>
      <c r="C64" s="96">
        <f t="array" ref="C64">INDEX('Monthly Base'!$C$5:$C$67,A64+1)</f>
        <v>31</v>
      </c>
      <c r="D64" s="95">
        <f t="array" ref="D64">INDEX('Monthly Base'!$O$5:$O$67,A64+1)</f>
        <v>67453.39831</v>
      </c>
      <c r="E64" s="95">
        <f t="array" ref="E64">INDEX('Monthly Base'!$Y$5:$Y$67,A64+1)</f>
        <v>0</v>
      </c>
      <c r="F64" s="95">
        <f t="shared" si="12"/>
        <v>150000</v>
      </c>
      <c r="G64" s="8">
        <f t="shared" ref="G64:H64" si="47">W63</f>
        <v>156000</v>
      </c>
      <c r="H64" s="8">
        <f t="shared" si="47"/>
        <v>242419.6558</v>
      </c>
      <c r="I64" s="95">
        <f>IF(OR(A64&lt;Inputs!$B$15,G64&lt;=0),0,MIN(Financing!$B$10,G64))</f>
        <v>4000</v>
      </c>
      <c r="J64" s="8">
        <f>IF(OR(A64&lt;Inputs!$B$15,H64&lt;=0),0,H64*Inputs!$B$13/12)</f>
        <v>959.5778042</v>
      </c>
      <c r="K64" s="95">
        <f>IF(OR(A64&lt;Inputs!$B$15,H64&lt;=0),0,MIN(Financing!$C$10,H64+J64))</f>
        <v>16881.22078</v>
      </c>
      <c r="L64" s="95">
        <f t="shared" si="3"/>
        <v>20881.22078</v>
      </c>
      <c r="M64" s="8">
        <f t="shared" si="14"/>
        <v>0</v>
      </c>
      <c r="N64" s="8">
        <f t="shared" si="15"/>
        <v>0</v>
      </c>
      <c r="O64" s="8">
        <f t="shared" si="16"/>
        <v>0</v>
      </c>
      <c r="P64" s="8">
        <f t="shared" si="4"/>
        <v>0</v>
      </c>
      <c r="Q64" s="95">
        <f>D64-J64-IF(C64=0,0,Inputs!$B$18)-P64</f>
        <v>59680.8205</v>
      </c>
      <c r="R64" s="8">
        <f>MAX(0,Q64-M64)*Inputs!$B$17</f>
        <v>13726.58872</v>
      </c>
      <c r="S64" s="8">
        <f t="shared" si="5"/>
        <v>0</v>
      </c>
      <c r="T64" s="95">
        <f t="shared" si="6"/>
        <v>182845.5888</v>
      </c>
      <c r="U64" s="8">
        <f>IF(AND(Inputs!$B$79=1,B64="OPEN",A64&gt;=Inputs!$B$82,C64&gt;=$B$10,MOD(C64-$B$10,$B$9)=0),MIN(MAX(0,T64-$B$8)*Inputs!$B$81,MAX(0,H64+J64-K64)),0)</f>
        <v>0</v>
      </c>
      <c r="V64" s="8">
        <f>IF(AND(Inputs!$B$79=1,B64="OPEN",A64&gt;=Inputs!$B$82,C64&gt;=$B$10,MOD(C64-$B$10,$B$9)=0),MIN(MAX(0,MAX(0,T64-$B$8)*Inputs!$B$81-U64),MAX(0,G64-I64)),0)</f>
        <v>0</v>
      </c>
      <c r="W64" s="8">
        <f t="shared" si="7"/>
        <v>152000</v>
      </c>
      <c r="X64" s="8">
        <f t="shared" si="8"/>
        <v>226498.0128</v>
      </c>
      <c r="Y64" s="8">
        <f t="shared" si="9"/>
        <v>378498.0128</v>
      </c>
      <c r="Z64" s="95">
        <f t="shared" si="10"/>
        <v>182845.5888</v>
      </c>
    </row>
    <row r="65">
      <c r="A65" s="8">
        <f t="shared" si="11"/>
        <v>34</v>
      </c>
      <c r="B65" s="96" t="str">
        <f t="array" ref="B65">INDEX('Monthly Base'!$B$5:$B$67,A65+1)</f>
        <v>OPEN</v>
      </c>
      <c r="C65" s="96">
        <f t="array" ref="C65">INDEX('Monthly Base'!$C$5:$C$67,A65+1)</f>
        <v>32</v>
      </c>
      <c r="D65" s="95">
        <f t="array" ref="D65">INDEX('Monthly Base'!$O$5:$O$67,A65+1)</f>
        <v>69324.33051</v>
      </c>
      <c r="E65" s="95">
        <f t="array" ref="E65">INDEX('Monthly Base'!$Y$5:$Y$67,A65+1)</f>
        <v>0</v>
      </c>
      <c r="F65" s="95">
        <f t="shared" si="12"/>
        <v>182845.5888</v>
      </c>
      <c r="G65" s="8">
        <f t="shared" ref="G65:H65" si="48">W64</f>
        <v>152000</v>
      </c>
      <c r="H65" s="8">
        <f t="shared" si="48"/>
        <v>226498.0128</v>
      </c>
      <c r="I65" s="95">
        <f>IF(OR(A65&lt;Inputs!$B$15,G65&lt;=0),0,MIN(Financing!$B$10,G65))</f>
        <v>4000</v>
      </c>
      <c r="J65" s="8">
        <f>IF(OR(A65&lt;Inputs!$B$15,H65&lt;=0),0,H65*Inputs!$B$13/12)</f>
        <v>896.5546341</v>
      </c>
      <c r="K65" s="95">
        <f>IF(OR(A65&lt;Inputs!$B$15,H65&lt;=0),0,MIN(Financing!$C$10,H65+J65))</f>
        <v>16881.22078</v>
      </c>
      <c r="L65" s="95">
        <f t="shared" si="3"/>
        <v>20881.22078</v>
      </c>
      <c r="M65" s="8">
        <f t="shared" si="14"/>
        <v>0</v>
      </c>
      <c r="N65" s="8">
        <f t="shared" si="15"/>
        <v>0</v>
      </c>
      <c r="O65" s="8">
        <f t="shared" si="16"/>
        <v>0</v>
      </c>
      <c r="P65" s="8">
        <f t="shared" si="4"/>
        <v>0</v>
      </c>
      <c r="Q65" s="95">
        <f>D65-J65-IF(C65=0,0,Inputs!$B$18)-P65</f>
        <v>61614.77587</v>
      </c>
      <c r="R65" s="8">
        <f>MAX(0,Q65-M65)*Inputs!$B$17</f>
        <v>14171.39845</v>
      </c>
      <c r="S65" s="8">
        <f t="shared" si="5"/>
        <v>0</v>
      </c>
      <c r="T65" s="95">
        <f t="shared" si="6"/>
        <v>217117.3001</v>
      </c>
      <c r="U65" s="8">
        <f>IF(AND(Inputs!$B$79=1,B65="OPEN",A65&gt;=Inputs!$B$82,C65&gt;=$B$10,MOD(C65-$B$10,$B$9)=0),MIN(MAX(0,T65-$B$8)*Inputs!$B$81,MAX(0,H65+J65-K65)),0)</f>
        <v>0</v>
      </c>
      <c r="V65" s="8">
        <f>IF(AND(Inputs!$B$79=1,B65="OPEN",A65&gt;=Inputs!$B$82,C65&gt;=$B$10,MOD(C65-$B$10,$B$9)=0),MIN(MAX(0,MAX(0,T65-$B$8)*Inputs!$B$81-U65),MAX(0,G65-I65)),0)</f>
        <v>0</v>
      </c>
      <c r="W65" s="8">
        <f t="shared" si="7"/>
        <v>148000</v>
      </c>
      <c r="X65" s="8">
        <f t="shared" si="8"/>
        <v>210513.3467</v>
      </c>
      <c r="Y65" s="8">
        <f t="shared" si="9"/>
        <v>358513.3467</v>
      </c>
      <c r="Z65" s="95">
        <f t="shared" si="10"/>
        <v>217117.3001</v>
      </c>
    </row>
    <row r="66">
      <c r="A66" s="8">
        <f t="shared" si="11"/>
        <v>35</v>
      </c>
      <c r="B66" s="96" t="str">
        <f t="array" ref="B66">INDEX('Monthly Base'!$B$5:$B$67,A66+1)</f>
        <v>OPEN</v>
      </c>
      <c r="C66" s="96">
        <f t="array" ref="C66">INDEX('Monthly Base'!$C$5:$C$67,A66+1)</f>
        <v>33</v>
      </c>
      <c r="D66" s="95">
        <f t="array" ref="D66">INDEX('Monthly Base'!$O$5:$O$67,A66+1)</f>
        <v>71382.35593</v>
      </c>
      <c r="E66" s="95">
        <f t="array" ref="E66">INDEX('Monthly Base'!$Y$5:$Y$67,A66+1)</f>
        <v>0</v>
      </c>
      <c r="F66" s="95">
        <f t="shared" si="12"/>
        <v>217117.3001</v>
      </c>
      <c r="G66" s="8">
        <f t="shared" ref="G66:H66" si="49">W65</f>
        <v>148000</v>
      </c>
      <c r="H66" s="8">
        <f t="shared" si="49"/>
        <v>210513.3467</v>
      </c>
      <c r="I66" s="95">
        <f>IF(OR(A66&lt;Inputs!$B$15,G66&lt;=0),0,MIN(Financing!$B$10,G66))</f>
        <v>4000</v>
      </c>
      <c r="J66" s="8">
        <f>IF(OR(A66&lt;Inputs!$B$15,H66&lt;=0),0,H66*Inputs!$B$13/12)</f>
        <v>833.2819973</v>
      </c>
      <c r="K66" s="95">
        <f>IF(OR(A66&lt;Inputs!$B$15,H66&lt;=0),0,MIN(Financing!$C$10,H66+J66))</f>
        <v>16881.22078</v>
      </c>
      <c r="L66" s="95">
        <f t="shared" si="3"/>
        <v>20881.22078</v>
      </c>
      <c r="M66" s="8">
        <f t="shared" si="14"/>
        <v>0</v>
      </c>
      <c r="N66" s="8">
        <f t="shared" si="15"/>
        <v>0</v>
      </c>
      <c r="O66" s="8">
        <f t="shared" si="16"/>
        <v>0</v>
      </c>
      <c r="P66" s="8">
        <f t="shared" si="4"/>
        <v>0</v>
      </c>
      <c r="Q66" s="95">
        <f>D66-J66-IF(C66=0,0,Inputs!$B$18)-P66</f>
        <v>63736.07393</v>
      </c>
      <c r="R66" s="8">
        <f>MAX(0,Q66-M66)*Inputs!$B$17</f>
        <v>14659.29701</v>
      </c>
      <c r="S66" s="8">
        <f t="shared" si="5"/>
        <v>0</v>
      </c>
      <c r="T66" s="95">
        <f t="shared" si="6"/>
        <v>252959.1382</v>
      </c>
      <c r="U66" s="8">
        <f>IF(AND(Inputs!$B$79=1,B66="OPEN",A66&gt;=Inputs!$B$82,C66&gt;=$B$10,MOD(C66-$B$10,$B$9)=0),MIN(MAX(0,T66-$B$8)*Inputs!$B$81,MAX(0,H66+J66-K66)),0)</f>
        <v>0</v>
      </c>
      <c r="V66" s="8">
        <f>IF(AND(Inputs!$B$79=1,B66="OPEN",A66&gt;=Inputs!$B$82,C66&gt;=$B$10,MOD(C66-$B$10,$B$9)=0),MIN(MAX(0,MAX(0,T66-$B$8)*Inputs!$B$81-U66),MAX(0,G66-I66)),0)</f>
        <v>0</v>
      </c>
      <c r="W66" s="8">
        <f t="shared" si="7"/>
        <v>144000</v>
      </c>
      <c r="X66" s="8">
        <f t="shared" si="8"/>
        <v>194465.4079</v>
      </c>
      <c r="Y66" s="8">
        <f t="shared" si="9"/>
        <v>338465.4079</v>
      </c>
      <c r="Z66" s="95">
        <f t="shared" si="10"/>
        <v>252959.1382</v>
      </c>
    </row>
    <row r="67">
      <c r="A67" s="8">
        <f t="shared" si="11"/>
        <v>36</v>
      </c>
      <c r="B67" s="96" t="str">
        <f t="array" ref="B67">INDEX('Monthly Base'!$B$5:$B$67,A67+1)</f>
        <v>OPEN</v>
      </c>
      <c r="C67" s="96">
        <f t="array" ref="C67">INDEX('Monthly Base'!$C$5:$C$67,A67+1)</f>
        <v>34</v>
      </c>
      <c r="D67" s="95">
        <f t="array" ref="D67">INDEX('Monthly Base'!$O$5:$O$67,A67+1)</f>
        <v>73253.28814</v>
      </c>
      <c r="E67" s="95">
        <f t="array" ref="E67">INDEX('Monthly Base'!$Y$5:$Y$67,A67+1)</f>
        <v>0</v>
      </c>
      <c r="F67" s="95">
        <f t="shared" si="12"/>
        <v>252959.1382</v>
      </c>
      <c r="G67" s="8">
        <f t="shared" ref="G67:H67" si="50">W66</f>
        <v>144000</v>
      </c>
      <c r="H67" s="8">
        <f t="shared" si="50"/>
        <v>194465.4079</v>
      </c>
      <c r="I67" s="95">
        <f>IF(OR(A67&lt;Inputs!$B$15,G67&lt;=0),0,MIN(Financing!$B$10,G67))</f>
        <v>4000</v>
      </c>
      <c r="J67" s="8">
        <f>IF(OR(A67&lt;Inputs!$B$15,H67&lt;=0),0,H67*Inputs!$B$13/12)</f>
        <v>769.7589063</v>
      </c>
      <c r="K67" s="95">
        <f>IF(OR(A67&lt;Inputs!$B$15,H67&lt;=0),0,MIN(Financing!$C$10,H67+J67))</f>
        <v>16881.22078</v>
      </c>
      <c r="L67" s="95">
        <f t="shared" si="3"/>
        <v>20881.22078</v>
      </c>
      <c r="M67" s="8">
        <f t="shared" si="14"/>
        <v>0</v>
      </c>
      <c r="N67" s="8">
        <f t="shared" si="15"/>
        <v>0</v>
      </c>
      <c r="O67" s="8">
        <f t="shared" si="16"/>
        <v>0</v>
      </c>
      <c r="P67" s="8">
        <f t="shared" si="4"/>
        <v>0</v>
      </c>
      <c r="Q67" s="95">
        <f>D67-J67-IF(C67=0,0,Inputs!$B$18)-P67</f>
        <v>65670.52923</v>
      </c>
      <c r="R67" s="8">
        <f>MAX(0,Q67-M67)*Inputs!$B$17</f>
        <v>15104.22172</v>
      </c>
      <c r="S67" s="8">
        <f t="shared" si="5"/>
        <v>0</v>
      </c>
      <c r="T67" s="95">
        <f t="shared" si="6"/>
        <v>290226.9839</v>
      </c>
      <c r="U67" s="8">
        <f>IF(AND(Inputs!$B$79=1,B67="OPEN",A67&gt;=Inputs!$B$82,C67&gt;=$B$10,MOD(C67-$B$10,$B$9)=0),MIN(MAX(0,T67-$B$8)*Inputs!$B$81,MAX(0,H67+J67-K67)),0)</f>
        <v>0</v>
      </c>
      <c r="V67" s="8">
        <f>IF(AND(Inputs!$B$79=1,B67="OPEN",A67&gt;=Inputs!$B$82,C67&gt;=$B$10,MOD(C67-$B$10,$B$9)=0),MIN(MAX(0,MAX(0,T67-$B$8)*Inputs!$B$81-U67),MAX(0,G67-I67)),0)</f>
        <v>0</v>
      </c>
      <c r="W67" s="8">
        <f t="shared" si="7"/>
        <v>140000</v>
      </c>
      <c r="X67" s="8">
        <f t="shared" si="8"/>
        <v>178353.946</v>
      </c>
      <c r="Y67" s="8">
        <f t="shared" si="9"/>
        <v>318353.946</v>
      </c>
      <c r="Z67" s="95">
        <f t="shared" si="10"/>
        <v>290226.9839</v>
      </c>
    </row>
    <row r="68">
      <c r="A68" s="8">
        <f t="shared" si="11"/>
        <v>37</v>
      </c>
      <c r="B68" s="96" t="str">
        <f t="array" ref="B68">INDEX('Monthly Base'!$B$5:$B$67,A68+1)</f>
        <v>OPEN</v>
      </c>
      <c r="C68" s="96">
        <f t="array" ref="C68">INDEX('Monthly Base'!$C$5:$C$67,A68+1)</f>
        <v>35</v>
      </c>
      <c r="D68" s="95">
        <f t="array" ref="D68">INDEX('Monthly Base'!$O$5:$O$67,A68+1)</f>
        <v>75311.31356</v>
      </c>
      <c r="E68" s="95">
        <f t="array" ref="E68">INDEX('Monthly Base'!$Y$5:$Y$67,A68+1)</f>
        <v>0</v>
      </c>
      <c r="F68" s="95">
        <f t="shared" si="12"/>
        <v>290226.9839</v>
      </c>
      <c r="G68" s="8">
        <f t="shared" ref="G68:H68" si="51">W67</f>
        <v>140000</v>
      </c>
      <c r="H68" s="8">
        <f t="shared" si="51"/>
        <v>178353.946</v>
      </c>
      <c r="I68" s="95">
        <f>IF(OR(A68&lt;Inputs!$B$15,G68&lt;=0),0,MIN(Financing!$B$10,G68))</f>
        <v>4000</v>
      </c>
      <c r="J68" s="8">
        <f>IF(OR(A68&lt;Inputs!$B$15,H68&lt;=0),0,H68*Inputs!$B$13/12)</f>
        <v>705.9843697</v>
      </c>
      <c r="K68" s="95">
        <f>IF(OR(A68&lt;Inputs!$B$15,H68&lt;=0),0,MIN(Financing!$C$10,H68+J68))</f>
        <v>16881.22078</v>
      </c>
      <c r="L68" s="95">
        <f t="shared" si="3"/>
        <v>20881.22078</v>
      </c>
      <c r="M68" s="8">
        <f t="shared" si="14"/>
        <v>0</v>
      </c>
      <c r="N68" s="8">
        <f t="shared" si="15"/>
        <v>0</v>
      </c>
      <c r="O68" s="8">
        <f t="shared" si="16"/>
        <v>0</v>
      </c>
      <c r="P68" s="8">
        <f t="shared" si="4"/>
        <v>0</v>
      </c>
      <c r="Q68" s="95">
        <f>D68-J68-IF(C68=0,0,Inputs!$B$18)-P68</f>
        <v>67792.32919</v>
      </c>
      <c r="R68" s="8">
        <f>MAX(0,Q68-M68)*Inputs!$B$17</f>
        <v>15592.23571</v>
      </c>
      <c r="S68" s="8">
        <f t="shared" si="5"/>
        <v>0</v>
      </c>
      <c r="T68" s="95">
        <f t="shared" si="6"/>
        <v>329064.8409</v>
      </c>
      <c r="U68" s="8">
        <f>IF(AND(Inputs!$B$79=1,B68="OPEN",A68&gt;=Inputs!$B$82,C68&gt;=$B$10,MOD(C68-$B$10,$B$9)=0),MIN(MAX(0,T68-$B$8)*Inputs!$B$81,MAX(0,H68+J68-K68)),0)</f>
        <v>0</v>
      </c>
      <c r="V68" s="8">
        <f>IF(AND(Inputs!$B$79=1,B68="OPEN",A68&gt;=Inputs!$B$82,C68&gt;=$B$10,MOD(C68-$B$10,$B$9)=0),MIN(MAX(0,MAX(0,T68-$B$8)*Inputs!$B$81-U68),MAX(0,G68-I68)),0)</f>
        <v>0</v>
      </c>
      <c r="W68" s="8">
        <f t="shared" si="7"/>
        <v>136000</v>
      </c>
      <c r="X68" s="8">
        <f t="shared" si="8"/>
        <v>162178.7096</v>
      </c>
      <c r="Y68" s="8">
        <f t="shared" si="9"/>
        <v>298178.7096</v>
      </c>
      <c r="Z68" s="95">
        <f t="shared" si="10"/>
        <v>329064.8409</v>
      </c>
    </row>
    <row r="69">
      <c r="A69" s="8">
        <f t="shared" si="11"/>
        <v>38</v>
      </c>
      <c r="B69" s="96" t="str">
        <f t="array" ref="B69">INDEX('Monthly Base'!$B$5:$B$67,A69+1)</f>
        <v>OPEN</v>
      </c>
      <c r="C69" s="96">
        <f t="array" ref="C69">INDEX('Monthly Base'!$C$5:$C$67,A69+1)</f>
        <v>36</v>
      </c>
      <c r="D69" s="95">
        <f t="array" ref="D69">INDEX('Monthly Base'!$O$5:$O$67,A69+1)</f>
        <v>77182.24576</v>
      </c>
      <c r="E69" s="95">
        <f t="array" ref="E69">INDEX('Monthly Base'!$Y$5:$Y$67,A69+1)</f>
        <v>0</v>
      </c>
      <c r="F69" s="95">
        <f t="shared" si="12"/>
        <v>329064.8409</v>
      </c>
      <c r="G69" s="8">
        <f t="shared" ref="G69:H69" si="52">W68</f>
        <v>136000</v>
      </c>
      <c r="H69" s="8">
        <f t="shared" si="52"/>
        <v>162178.7096</v>
      </c>
      <c r="I69" s="95">
        <f>IF(OR(A69&lt;Inputs!$B$15,G69&lt;=0),0,MIN(Financing!$B$10,G69))</f>
        <v>4000</v>
      </c>
      <c r="J69" s="8">
        <f>IF(OR(A69&lt;Inputs!$B$15,H69&lt;=0),0,H69*Inputs!$B$13/12)</f>
        <v>641.9573922</v>
      </c>
      <c r="K69" s="95">
        <f>IF(OR(A69&lt;Inputs!$B$15,H69&lt;=0),0,MIN(Financing!$C$10,H69+J69))</f>
        <v>16881.22078</v>
      </c>
      <c r="L69" s="95">
        <f t="shared" si="3"/>
        <v>20881.22078</v>
      </c>
      <c r="M69" s="8">
        <f t="shared" si="14"/>
        <v>0</v>
      </c>
      <c r="N69" s="8">
        <f t="shared" si="15"/>
        <v>0</v>
      </c>
      <c r="O69" s="8">
        <f t="shared" si="16"/>
        <v>0</v>
      </c>
      <c r="P69" s="8">
        <f t="shared" si="4"/>
        <v>0</v>
      </c>
      <c r="Q69" s="95">
        <f>D69-J69-IF(C69=0,0,Inputs!$B$18)-P69</f>
        <v>69727.28837</v>
      </c>
      <c r="R69" s="8">
        <f>MAX(0,Q69-M69)*Inputs!$B$17</f>
        <v>16037.27633</v>
      </c>
      <c r="S69" s="8">
        <f t="shared" si="5"/>
        <v>0</v>
      </c>
      <c r="T69" s="95">
        <f t="shared" si="6"/>
        <v>369328.5896</v>
      </c>
      <c r="U69" s="8">
        <f>IF(AND(Inputs!$B$79=1,B69="OPEN",A69&gt;=Inputs!$B$82,C69&gt;=$B$10,MOD(C69-$B$10,$B$9)=0),MIN(MAX(0,T69-$B$8)*Inputs!$B$81,MAX(0,H69+J69-K69)),0)</f>
        <v>145939.4462</v>
      </c>
      <c r="V69" s="8">
        <f>IF(AND(Inputs!$B$79=1,B69="OPEN",A69&gt;=Inputs!$B$82,C69&gt;=$B$10,MOD(C69-$B$10,$B$9)=0),MIN(MAX(0,MAX(0,T69-$B$8)*Inputs!$B$81-U69),MAX(0,G69-I69)),0)</f>
        <v>73389.14336</v>
      </c>
      <c r="W69" s="8">
        <f t="shared" si="7"/>
        <v>58610.85664</v>
      </c>
      <c r="X69" s="8">
        <f t="shared" si="8"/>
        <v>0</v>
      </c>
      <c r="Y69" s="8">
        <f t="shared" si="9"/>
        <v>58610.85664</v>
      </c>
      <c r="Z69" s="95">
        <f t="shared" si="10"/>
        <v>150000</v>
      </c>
    </row>
    <row r="70">
      <c r="A70" s="8">
        <f t="shared" si="11"/>
        <v>39</v>
      </c>
      <c r="B70" s="96" t="str">
        <f t="array" ref="B70">INDEX('Monthly Base'!$B$5:$B$67,A70+1)</f>
        <v>OPEN</v>
      </c>
      <c r="C70" s="96">
        <f t="array" ref="C70">INDEX('Monthly Base'!$C$5:$C$67,A70+1)</f>
        <v>37</v>
      </c>
      <c r="D70" s="95">
        <f t="array" ref="D70">INDEX('Monthly Base'!$O$5:$O$67,A70+1)</f>
        <v>78304.80508</v>
      </c>
      <c r="E70" s="95">
        <f t="array" ref="E70">INDEX('Monthly Base'!$Y$5:$Y$67,A70+1)</f>
        <v>0</v>
      </c>
      <c r="F70" s="95">
        <f t="shared" si="12"/>
        <v>150000</v>
      </c>
      <c r="G70" s="8">
        <f t="shared" ref="G70:H70" si="53">W69</f>
        <v>58610.85664</v>
      </c>
      <c r="H70" s="8">
        <f t="shared" si="53"/>
        <v>0</v>
      </c>
      <c r="I70" s="95">
        <f>IF(OR(A70&lt;Inputs!$B$15,G70&lt;=0),0,MIN(Financing!$B$10,G70))</f>
        <v>4000</v>
      </c>
      <c r="J70" s="8">
        <f>IF(OR(A70&lt;Inputs!$B$15,H70&lt;=0),0,H70*Inputs!$B$13/12)</f>
        <v>0</v>
      </c>
      <c r="K70" s="8">
        <f>IF(OR(A70&lt;Inputs!$B$15,H70&lt;=0),0,MIN(Financing!$C$10,H70+J70))</f>
        <v>0</v>
      </c>
      <c r="L70" s="95">
        <f t="shared" si="3"/>
        <v>4000</v>
      </c>
      <c r="M70" s="8">
        <f t="shared" si="14"/>
        <v>0</v>
      </c>
      <c r="N70" s="8">
        <f t="shared" si="15"/>
        <v>0</v>
      </c>
      <c r="O70" s="8">
        <f t="shared" si="16"/>
        <v>0</v>
      </c>
      <c r="P70" s="8">
        <f t="shared" si="4"/>
        <v>0</v>
      </c>
      <c r="Q70" s="95">
        <f>D70-J70-IF(C70=0,0,Inputs!$B$18)-P70</f>
        <v>71491.80508</v>
      </c>
      <c r="R70" s="8">
        <f>MAX(0,Q70-M70)*Inputs!$B$17</f>
        <v>16443.11517</v>
      </c>
      <c r="S70" s="8">
        <f t="shared" si="5"/>
        <v>0</v>
      </c>
      <c r="T70" s="95">
        <f t="shared" si="6"/>
        <v>207861.6899</v>
      </c>
      <c r="U70" s="8">
        <f>IF(AND(Inputs!$B$79=1,B70="OPEN",A70&gt;=Inputs!$B$82,C70&gt;=$B$10,MOD(C70-$B$10,$B$9)=0),MIN(MAX(0,T70-$B$8)*Inputs!$B$81,MAX(0,H70+J70-K70)),0)</f>
        <v>0</v>
      </c>
      <c r="V70" s="8">
        <f>IF(AND(Inputs!$B$79=1,B70="OPEN",A70&gt;=Inputs!$B$82,C70&gt;=$B$10,MOD(C70-$B$10,$B$9)=0),MIN(MAX(0,MAX(0,T70-$B$8)*Inputs!$B$81-U70),MAX(0,G70-I70)),0)</f>
        <v>0</v>
      </c>
      <c r="W70" s="8">
        <f t="shared" si="7"/>
        <v>54610.85664</v>
      </c>
      <c r="X70" s="8">
        <f t="shared" si="8"/>
        <v>0</v>
      </c>
      <c r="Y70" s="8">
        <f t="shared" si="9"/>
        <v>54610.85664</v>
      </c>
      <c r="Z70" s="95">
        <f t="shared" si="10"/>
        <v>207861.6899</v>
      </c>
    </row>
    <row r="71">
      <c r="A71" s="8">
        <f t="shared" si="11"/>
        <v>40</v>
      </c>
      <c r="B71" s="96" t="str">
        <f t="array" ref="B71">INDEX('Monthly Base'!$B$5:$B$67,A71+1)</f>
        <v>OPEN</v>
      </c>
      <c r="C71" s="96">
        <f t="array" ref="C71">INDEX('Monthly Base'!$C$5:$C$67,A71+1)</f>
        <v>38</v>
      </c>
      <c r="D71" s="95">
        <f t="array" ref="D71">INDEX('Monthly Base'!$O$5:$O$67,A71+1)</f>
        <v>79614.45763</v>
      </c>
      <c r="E71" s="95">
        <f t="array" ref="E71">INDEX('Monthly Base'!$Y$5:$Y$67,A71+1)</f>
        <v>0</v>
      </c>
      <c r="F71" s="95">
        <f t="shared" si="12"/>
        <v>207861.6899</v>
      </c>
      <c r="G71" s="8">
        <f t="shared" ref="G71:H71" si="54">W70</f>
        <v>54610.85664</v>
      </c>
      <c r="H71" s="8">
        <f t="shared" si="54"/>
        <v>0</v>
      </c>
      <c r="I71" s="95">
        <f>IF(OR(A71&lt;Inputs!$B$15,G71&lt;=0),0,MIN(Financing!$B$10,G71))</f>
        <v>4000</v>
      </c>
      <c r="J71" s="8">
        <f>IF(OR(A71&lt;Inputs!$B$15,H71&lt;=0),0,H71*Inputs!$B$13/12)</f>
        <v>0</v>
      </c>
      <c r="K71" s="8">
        <f>IF(OR(A71&lt;Inputs!$B$15,H71&lt;=0),0,MIN(Financing!$C$10,H71+J71))</f>
        <v>0</v>
      </c>
      <c r="L71" s="95">
        <f t="shared" si="3"/>
        <v>4000</v>
      </c>
      <c r="M71" s="8">
        <f t="shared" si="14"/>
        <v>0</v>
      </c>
      <c r="N71" s="8">
        <f t="shared" si="15"/>
        <v>0</v>
      </c>
      <c r="O71" s="8">
        <f t="shared" si="16"/>
        <v>0</v>
      </c>
      <c r="P71" s="8">
        <f t="shared" si="4"/>
        <v>0</v>
      </c>
      <c r="Q71" s="95">
        <f>D71-J71-IF(C71=0,0,Inputs!$B$18)-P71</f>
        <v>72801.45763</v>
      </c>
      <c r="R71" s="8">
        <f>MAX(0,Q71-M71)*Inputs!$B$17</f>
        <v>16744.33525</v>
      </c>
      <c r="S71" s="8">
        <f t="shared" si="5"/>
        <v>0</v>
      </c>
      <c r="T71" s="95">
        <f t="shared" si="6"/>
        <v>266731.8123</v>
      </c>
      <c r="U71" s="8">
        <f>IF(AND(Inputs!$B$79=1,B71="OPEN",A71&gt;=Inputs!$B$82,C71&gt;=$B$10,MOD(C71-$B$10,$B$9)=0),MIN(MAX(0,T71-$B$8)*Inputs!$B$81,MAX(0,H71+J71-K71)),0)</f>
        <v>0</v>
      </c>
      <c r="V71" s="8">
        <f>IF(AND(Inputs!$B$79=1,B71="OPEN",A71&gt;=Inputs!$B$82,C71&gt;=$B$10,MOD(C71-$B$10,$B$9)=0),MIN(MAX(0,MAX(0,T71-$B$8)*Inputs!$B$81-U71),MAX(0,G71-I71)),0)</f>
        <v>0</v>
      </c>
      <c r="W71" s="8">
        <f t="shared" si="7"/>
        <v>50610.85664</v>
      </c>
      <c r="X71" s="8">
        <f t="shared" si="8"/>
        <v>0</v>
      </c>
      <c r="Y71" s="8">
        <f t="shared" si="9"/>
        <v>50610.85664</v>
      </c>
      <c r="Z71" s="95">
        <f t="shared" si="10"/>
        <v>266731.8123</v>
      </c>
    </row>
    <row r="72">
      <c r="A72" s="8">
        <f t="shared" si="11"/>
        <v>41</v>
      </c>
      <c r="B72" s="96" t="str">
        <f t="array" ref="B72">INDEX('Monthly Base'!$B$5:$B$67,A72+1)</f>
        <v>OPEN</v>
      </c>
      <c r="C72" s="96">
        <f t="array" ref="C72">INDEX('Monthly Base'!$C$5:$C$67,A72+1)</f>
        <v>39</v>
      </c>
      <c r="D72" s="95">
        <f t="array" ref="D72">INDEX('Monthly Base'!$O$5:$O$67,A72+1)</f>
        <v>80737.01695</v>
      </c>
      <c r="E72" s="95">
        <f t="array" ref="E72">INDEX('Monthly Base'!$Y$5:$Y$67,A72+1)</f>
        <v>0</v>
      </c>
      <c r="F72" s="95">
        <f t="shared" si="12"/>
        <v>266731.8123</v>
      </c>
      <c r="G72" s="8">
        <f t="shared" ref="G72:H72" si="55">W71</f>
        <v>50610.85664</v>
      </c>
      <c r="H72" s="8">
        <f t="shared" si="55"/>
        <v>0</v>
      </c>
      <c r="I72" s="95">
        <f>IF(OR(A72&lt;Inputs!$B$15,G72&lt;=0),0,MIN(Financing!$B$10,G72))</f>
        <v>4000</v>
      </c>
      <c r="J72" s="8">
        <f>IF(OR(A72&lt;Inputs!$B$15,H72&lt;=0),0,H72*Inputs!$B$13/12)</f>
        <v>0</v>
      </c>
      <c r="K72" s="8">
        <f>IF(OR(A72&lt;Inputs!$B$15,H72&lt;=0),0,MIN(Financing!$C$10,H72+J72))</f>
        <v>0</v>
      </c>
      <c r="L72" s="95">
        <f t="shared" si="3"/>
        <v>4000</v>
      </c>
      <c r="M72" s="8">
        <f t="shared" si="14"/>
        <v>0</v>
      </c>
      <c r="N72" s="8">
        <f t="shared" si="15"/>
        <v>0</v>
      </c>
      <c r="O72" s="8">
        <f t="shared" si="16"/>
        <v>0</v>
      </c>
      <c r="P72" s="8">
        <f t="shared" si="4"/>
        <v>0</v>
      </c>
      <c r="Q72" s="95">
        <f>D72-J72-IF(C72=0,0,Inputs!$B$18)-P72</f>
        <v>73924.01695</v>
      </c>
      <c r="R72" s="8">
        <f>MAX(0,Q72-M72)*Inputs!$B$17</f>
        <v>17002.5239</v>
      </c>
      <c r="S72" s="8">
        <f t="shared" si="5"/>
        <v>0</v>
      </c>
      <c r="T72" s="95">
        <f t="shared" si="6"/>
        <v>326466.3053</v>
      </c>
      <c r="U72" s="8">
        <f>IF(AND(Inputs!$B$79=1,B72="OPEN",A72&gt;=Inputs!$B$82,C72&gt;=$B$10,MOD(C72-$B$10,$B$9)=0),MIN(MAX(0,T72-$B$8)*Inputs!$B$81,MAX(0,H72+J72-K72)),0)</f>
        <v>0</v>
      </c>
      <c r="V72" s="8">
        <f>IF(AND(Inputs!$B$79=1,B72="OPEN",A72&gt;=Inputs!$B$82,C72&gt;=$B$10,MOD(C72-$B$10,$B$9)=0),MIN(MAX(0,MAX(0,T72-$B$8)*Inputs!$B$81-U72),MAX(0,G72-I72)),0)</f>
        <v>0</v>
      </c>
      <c r="W72" s="8">
        <f t="shared" si="7"/>
        <v>46610.85664</v>
      </c>
      <c r="X72" s="8">
        <f t="shared" si="8"/>
        <v>0</v>
      </c>
      <c r="Y72" s="8">
        <f t="shared" si="9"/>
        <v>46610.85664</v>
      </c>
      <c r="Z72" s="95">
        <f t="shared" si="10"/>
        <v>326466.3053</v>
      </c>
    </row>
    <row r="73">
      <c r="A73" s="8">
        <f t="shared" si="11"/>
        <v>42</v>
      </c>
      <c r="B73" s="96" t="str">
        <f t="array" ref="B73">INDEX('Monthly Base'!$B$5:$B$67,A73+1)</f>
        <v>OPEN</v>
      </c>
      <c r="C73" s="96">
        <f t="array" ref="C73">INDEX('Monthly Base'!$C$5:$C$67,A73+1)</f>
        <v>40</v>
      </c>
      <c r="D73" s="95">
        <f t="array" ref="D73">INDEX('Monthly Base'!$O$5:$O$67,A73+1)</f>
        <v>81859.57627</v>
      </c>
      <c r="E73" s="95">
        <f t="array" ref="E73">INDEX('Monthly Base'!$Y$5:$Y$67,A73+1)</f>
        <v>0</v>
      </c>
      <c r="F73" s="95">
        <f t="shared" si="12"/>
        <v>326466.3053</v>
      </c>
      <c r="G73" s="8">
        <f t="shared" ref="G73:H73" si="56">W72</f>
        <v>46610.85664</v>
      </c>
      <c r="H73" s="8">
        <f t="shared" si="56"/>
        <v>0</v>
      </c>
      <c r="I73" s="95">
        <f>IF(OR(A73&lt;Inputs!$B$15,G73&lt;=0),0,MIN(Financing!$B$10,G73))</f>
        <v>4000</v>
      </c>
      <c r="J73" s="8">
        <f>IF(OR(A73&lt;Inputs!$B$15,H73&lt;=0),0,H73*Inputs!$B$13/12)</f>
        <v>0</v>
      </c>
      <c r="K73" s="8">
        <f>IF(OR(A73&lt;Inputs!$B$15,H73&lt;=0),0,MIN(Financing!$C$10,H73+J73))</f>
        <v>0</v>
      </c>
      <c r="L73" s="95">
        <f t="shared" si="3"/>
        <v>4000</v>
      </c>
      <c r="M73" s="8">
        <f t="shared" si="14"/>
        <v>0</v>
      </c>
      <c r="N73" s="8">
        <f t="shared" si="15"/>
        <v>0</v>
      </c>
      <c r="O73" s="8">
        <f t="shared" si="16"/>
        <v>0</v>
      </c>
      <c r="P73" s="8">
        <f t="shared" si="4"/>
        <v>0</v>
      </c>
      <c r="Q73" s="95">
        <f>D73-J73-IF(C73=0,0,Inputs!$B$18)-P73</f>
        <v>75046.57627</v>
      </c>
      <c r="R73" s="8">
        <f>MAX(0,Q73-M73)*Inputs!$B$17</f>
        <v>17260.71254</v>
      </c>
      <c r="S73" s="8">
        <f t="shared" si="5"/>
        <v>0</v>
      </c>
      <c r="T73" s="95">
        <f t="shared" si="6"/>
        <v>387065.1691</v>
      </c>
      <c r="U73" s="8">
        <f>IF(AND(Inputs!$B$79=1,B73="OPEN",A73&gt;=Inputs!$B$82,C73&gt;=$B$10,MOD(C73-$B$10,$B$9)=0),MIN(MAX(0,T73-$B$8)*Inputs!$B$81,MAX(0,H73+J73-K73)),0)</f>
        <v>0</v>
      </c>
      <c r="V73" s="8">
        <f>IF(AND(Inputs!$B$79=1,B73="OPEN",A73&gt;=Inputs!$B$82,C73&gt;=$B$10,MOD(C73-$B$10,$B$9)=0),MIN(MAX(0,MAX(0,T73-$B$8)*Inputs!$B$81-U73),MAX(0,G73-I73)),0)</f>
        <v>0</v>
      </c>
      <c r="W73" s="8">
        <f t="shared" si="7"/>
        <v>42610.85664</v>
      </c>
      <c r="X73" s="8">
        <f t="shared" si="8"/>
        <v>0</v>
      </c>
      <c r="Y73" s="8">
        <f t="shared" si="9"/>
        <v>42610.85664</v>
      </c>
      <c r="Z73" s="95">
        <f t="shared" si="10"/>
        <v>387065.1691</v>
      </c>
    </row>
    <row r="74">
      <c r="A74" s="8">
        <f t="shared" si="11"/>
        <v>43</v>
      </c>
      <c r="B74" s="96" t="str">
        <f t="array" ref="B74">INDEX('Monthly Base'!$B$5:$B$67,A74+1)</f>
        <v>OPEN</v>
      </c>
      <c r="C74" s="96">
        <f t="array" ref="C74">INDEX('Monthly Base'!$C$5:$C$67,A74+1)</f>
        <v>41</v>
      </c>
      <c r="D74" s="95">
        <f t="array" ref="D74">INDEX('Monthly Base'!$O$5:$O$67,A74+1)</f>
        <v>82982.13559</v>
      </c>
      <c r="E74" s="95">
        <f t="array" ref="E74">INDEX('Monthly Base'!$Y$5:$Y$67,A74+1)</f>
        <v>0</v>
      </c>
      <c r="F74" s="95">
        <f t="shared" si="12"/>
        <v>387065.1691</v>
      </c>
      <c r="G74" s="8">
        <f t="shared" ref="G74:H74" si="57">W73</f>
        <v>42610.85664</v>
      </c>
      <c r="H74" s="8">
        <f t="shared" si="57"/>
        <v>0</v>
      </c>
      <c r="I74" s="95">
        <f>IF(OR(A74&lt;Inputs!$B$15,G74&lt;=0),0,MIN(Financing!$B$10,G74))</f>
        <v>4000</v>
      </c>
      <c r="J74" s="8">
        <f>IF(OR(A74&lt;Inputs!$B$15,H74&lt;=0),0,H74*Inputs!$B$13/12)</f>
        <v>0</v>
      </c>
      <c r="K74" s="8">
        <f>IF(OR(A74&lt;Inputs!$B$15,H74&lt;=0),0,MIN(Financing!$C$10,H74+J74))</f>
        <v>0</v>
      </c>
      <c r="L74" s="95">
        <f t="shared" si="3"/>
        <v>4000</v>
      </c>
      <c r="M74" s="8">
        <f t="shared" si="14"/>
        <v>0</v>
      </c>
      <c r="N74" s="8">
        <f t="shared" si="15"/>
        <v>0</v>
      </c>
      <c r="O74" s="8">
        <f t="shared" si="16"/>
        <v>0</v>
      </c>
      <c r="P74" s="8">
        <f t="shared" si="4"/>
        <v>0</v>
      </c>
      <c r="Q74" s="95">
        <f>D74-J74-IF(C74=0,0,Inputs!$B$18)-P74</f>
        <v>76169.13559</v>
      </c>
      <c r="R74" s="8">
        <f>MAX(0,Q74-M74)*Inputs!$B$17</f>
        <v>17518.90119</v>
      </c>
      <c r="S74" s="8">
        <f t="shared" si="5"/>
        <v>0</v>
      </c>
      <c r="T74" s="95">
        <f t="shared" si="6"/>
        <v>448528.4035</v>
      </c>
      <c r="U74" s="8">
        <f>IF(AND(Inputs!$B$79=1,B74="OPEN",A74&gt;=Inputs!$B$82,C74&gt;=$B$10,MOD(C74-$B$10,$B$9)=0),MIN(MAX(0,T74-$B$8)*Inputs!$B$81,MAX(0,H74+J74-K74)),0)</f>
        <v>0</v>
      </c>
      <c r="V74" s="8">
        <f>IF(AND(Inputs!$B$79=1,B74="OPEN",A74&gt;=Inputs!$B$82,C74&gt;=$B$10,MOD(C74-$B$10,$B$9)=0),MIN(MAX(0,MAX(0,T74-$B$8)*Inputs!$B$81-U74),MAX(0,G74-I74)),0)</f>
        <v>0</v>
      </c>
      <c r="W74" s="8">
        <f t="shared" si="7"/>
        <v>38610.85664</v>
      </c>
      <c r="X74" s="8">
        <f t="shared" si="8"/>
        <v>0</v>
      </c>
      <c r="Y74" s="8">
        <f t="shared" si="9"/>
        <v>38610.85664</v>
      </c>
      <c r="Z74" s="95">
        <f t="shared" si="10"/>
        <v>448528.4035</v>
      </c>
    </row>
    <row r="75">
      <c r="A75" s="8">
        <f t="shared" si="11"/>
        <v>44</v>
      </c>
      <c r="B75" s="96" t="str">
        <f t="array" ref="B75">INDEX('Monthly Base'!$B$5:$B$67,A75+1)</f>
        <v>OPEN</v>
      </c>
      <c r="C75" s="96">
        <f t="array" ref="C75">INDEX('Monthly Base'!$C$5:$C$67,A75+1)</f>
        <v>42</v>
      </c>
      <c r="D75" s="95">
        <f t="array" ref="D75">INDEX('Monthly Base'!$O$5:$O$67,A75+1)</f>
        <v>84291.78814</v>
      </c>
      <c r="E75" s="95">
        <f t="array" ref="E75">INDEX('Monthly Base'!$Y$5:$Y$67,A75+1)</f>
        <v>0</v>
      </c>
      <c r="F75" s="95">
        <f t="shared" si="12"/>
        <v>448528.4035</v>
      </c>
      <c r="G75" s="8">
        <f t="shared" ref="G75:H75" si="58">W74</f>
        <v>38610.85664</v>
      </c>
      <c r="H75" s="8">
        <f t="shared" si="58"/>
        <v>0</v>
      </c>
      <c r="I75" s="95">
        <f>IF(OR(A75&lt;Inputs!$B$15,G75&lt;=0),0,MIN(Financing!$B$10,G75))</f>
        <v>4000</v>
      </c>
      <c r="J75" s="8">
        <f>IF(OR(A75&lt;Inputs!$B$15,H75&lt;=0),0,H75*Inputs!$B$13/12)</f>
        <v>0</v>
      </c>
      <c r="K75" s="8">
        <f>IF(OR(A75&lt;Inputs!$B$15,H75&lt;=0),0,MIN(Financing!$C$10,H75+J75))</f>
        <v>0</v>
      </c>
      <c r="L75" s="95">
        <f t="shared" si="3"/>
        <v>4000</v>
      </c>
      <c r="M75" s="8">
        <f t="shared" si="14"/>
        <v>0</v>
      </c>
      <c r="N75" s="8">
        <f t="shared" si="15"/>
        <v>0</v>
      </c>
      <c r="O75" s="8">
        <f t="shared" si="16"/>
        <v>0</v>
      </c>
      <c r="P75" s="8">
        <f t="shared" si="4"/>
        <v>0</v>
      </c>
      <c r="Q75" s="95">
        <f>D75-J75-IF(C75=0,0,Inputs!$B$18)-P75</f>
        <v>77478.78814</v>
      </c>
      <c r="R75" s="8">
        <f>MAX(0,Q75-M75)*Inputs!$B$17</f>
        <v>17820.12127</v>
      </c>
      <c r="S75" s="8">
        <f t="shared" si="5"/>
        <v>0</v>
      </c>
      <c r="T75" s="95">
        <f t="shared" si="6"/>
        <v>511000.0703</v>
      </c>
      <c r="U75" s="8">
        <f>IF(AND(Inputs!$B$79=1,B75="OPEN",A75&gt;=Inputs!$B$82,C75&gt;=$B$10,MOD(C75-$B$10,$B$9)=0),MIN(MAX(0,T75-$B$8)*Inputs!$B$81,MAX(0,H75+J75-K75)),0)</f>
        <v>0</v>
      </c>
      <c r="V75" s="8">
        <f>IF(AND(Inputs!$B$79=1,B75="OPEN",A75&gt;=Inputs!$B$82,C75&gt;=$B$10,MOD(C75-$B$10,$B$9)=0),MIN(MAX(0,MAX(0,T75-$B$8)*Inputs!$B$81-U75),MAX(0,G75-I75)),0)</f>
        <v>34610.85664</v>
      </c>
      <c r="W75" s="8">
        <f t="shared" si="7"/>
        <v>0</v>
      </c>
      <c r="X75" s="8">
        <f t="shared" si="8"/>
        <v>0</v>
      </c>
      <c r="Y75" s="8">
        <f t="shared" si="9"/>
        <v>0</v>
      </c>
      <c r="Z75" s="95">
        <f t="shared" si="10"/>
        <v>476389.2137</v>
      </c>
    </row>
    <row r="76">
      <c r="A76" s="8">
        <f t="shared" si="11"/>
        <v>45</v>
      </c>
      <c r="B76" s="96" t="str">
        <f t="array" ref="B76">INDEX('Monthly Base'!$B$5:$B$67,A76+1)</f>
        <v>OPEN</v>
      </c>
      <c r="C76" s="96">
        <f t="array" ref="C76">INDEX('Monthly Base'!$C$5:$C$67,A76+1)</f>
        <v>43</v>
      </c>
      <c r="D76" s="95">
        <f t="array" ref="D76">INDEX('Monthly Base'!$O$5:$O$67,A76+1)</f>
        <v>85414.34746</v>
      </c>
      <c r="E76" s="95">
        <f t="array" ref="E76">INDEX('Monthly Base'!$Y$5:$Y$67,A76+1)</f>
        <v>0</v>
      </c>
      <c r="F76" s="95">
        <f t="shared" si="12"/>
        <v>476389.2137</v>
      </c>
      <c r="G76" s="8">
        <f t="shared" ref="G76:H76" si="59">W75</f>
        <v>0</v>
      </c>
      <c r="H76" s="8">
        <f t="shared" si="59"/>
        <v>0</v>
      </c>
      <c r="I76" s="8">
        <f>IF(OR(A76&lt;Inputs!$B$15,G76&lt;=0),0,MIN(Financing!$B$10,G76))</f>
        <v>0</v>
      </c>
      <c r="J76" s="8">
        <f>IF(OR(A76&lt;Inputs!$B$15,H76&lt;=0),0,H76*Inputs!$B$13/12)</f>
        <v>0</v>
      </c>
      <c r="K76" s="8">
        <f>IF(OR(A76&lt;Inputs!$B$15,H76&lt;=0),0,MIN(Financing!$C$10,H76+J76))</f>
        <v>0</v>
      </c>
      <c r="L76" s="8">
        <f t="shared" si="3"/>
        <v>0</v>
      </c>
      <c r="M76" s="8">
        <f t="shared" si="14"/>
        <v>0</v>
      </c>
      <c r="N76" s="8">
        <f t="shared" si="15"/>
        <v>10000</v>
      </c>
      <c r="O76" s="8">
        <f t="shared" si="16"/>
        <v>10000</v>
      </c>
      <c r="P76" s="8">
        <f t="shared" si="4"/>
        <v>24000</v>
      </c>
      <c r="Q76" s="95">
        <f>D76-J76-IF(C76=0,0,Inputs!$B$18)-P76</f>
        <v>54601.34746</v>
      </c>
      <c r="R76" s="8">
        <f>MAX(0,Q76-M76)*Inputs!$B$17</f>
        <v>12558.30992</v>
      </c>
      <c r="S76" s="8">
        <f t="shared" si="5"/>
        <v>0</v>
      </c>
      <c r="T76" s="95">
        <f t="shared" si="6"/>
        <v>525245.2512</v>
      </c>
      <c r="U76" s="8">
        <f>IF(AND(Inputs!$B$79=1,B76="OPEN",A76&gt;=Inputs!$B$82,C76&gt;=$B$10,MOD(C76-$B$10,$B$9)=0),MIN(MAX(0,T76-$B$8)*Inputs!$B$81,MAX(0,H76+J76-K76)),0)</f>
        <v>0</v>
      </c>
      <c r="V76" s="8">
        <f>IF(AND(Inputs!$B$79=1,B76="OPEN",A76&gt;=Inputs!$B$82,C76&gt;=$B$10,MOD(C76-$B$10,$B$9)=0),MIN(MAX(0,MAX(0,T76-$B$8)*Inputs!$B$81-U76),MAX(0,G76-I76)),0)</f>
        <v>0</v>
      </c>
      <c r="W76" s="8">
        <f t="shared" si="7"/>
        <v>0</v>
      </c>
      <c r="X76" s="8">
        <f t="shared" si="8"/>
        <v>0</v>
      </c>
      <c r="Y76" s="8">
        <f t="shared" si="9"/>
        <v>0</v>
      </c>
      <c r="Z76" s="95">
        <f t="shared" si="10"/>
        <v>525245.2512</v>
      </c>
    </row>
    <row r="77">
      <c r="A77" s="8">
        <f t="shared" si="11"/>
        <v>46</v>
      </c>
      <c r="B77" s="96" t="str">
        <f t="array" ref="B77">INDEX('Monthly Base'!$B$5:$B$67,A77+1)</f>
        <v>OPEN</v>
      </c>
      <c r="C77" s="96">
        <f t="array" ref="C77">INDEX('Monthly Base'!$C$5:$C$67,A77+1)</f>
        <v>44</v>
      </c>
      <c r="D77" s="95">
        <f t="array" ref="D77">INDEX('Monthly Base'!$O$5:$O$67,A77+1)</f>
        <v>86536.90678</v>
      </c>
      <c r="E77" s="95">
        <f t="array" ref="E77">INDEX('Monthly Base'!$Y$5:$Y$67,A77+1)</f>
        <v>0</v>
      </c>
      <c r="F77" s="95">
        <f t="shared" si="12"/>
        <v>525245.2512</v>
      </c>
      <c r="G77" s="8">
        <f t="shared" ref="G77:H77" si="60">W76</f>
        <v>0</v>
      </c>
      <c r="H77" s="8">
        <f t="shared" si="60"/>
        <v>0</v>
      </c>
      <c r="I77" s="8">
        <f>IF(OR(A77&lt;Inputs!$B$15,G77&lt;=0),0,MIN(Financing!$B$10,G77))</f>
        <v>0</v>
      </c>
      <c r="J77" s="8">
        <f>IF(OR(A77&lt;Inputs!$B$15,H77&lt;=0),0,H77*Inputs!$B$13/12)</f>
        <v>0</v>
      </c>
      <c r="K77" s="8">
        <f>IF(OR(A77&lt;Inputs!$B$15,H77&lt;=0),0,MIN(Financing!$C$10,H77+J77))</f>
        <v>0</v>
      </c>
      <c r="L77" s="8">
        <f t="shared" si="3"/>
        <v>0</v>
      </c>
      <c r="M77" s="8">
        <f t="shared" si="14"/>
        <v>0</v>
      </c>
      <c r="N77" s="8">
        <f t="shared" si="15"/>
        <v>10000</v>
      </c>
      <c r="O77" s="8">
        <f t="shared" si="16"/>
        <v>10000</v>
      </c>
      <c r="P77" s="8">
        <f t="shared" si="4"/>
        <v>24000</v>
      </c>
      <c r="Q77" s="95">
        <f>D77-J77-IF(C77=0,0,Inputs!$B$18)-P77</f>
        <v>55723.90678</v>
      </c>
      <c r="R77" s="8">
        <f>MAX(0,Q77-M77)*Inputs!$B$17</f>
        <v>12816.49856</v>
      </c>
      <c r="S77" s="8">
        <f t="shared" si="5"/>
        <v>0</v>
      </c>
      <c r="T77" s="95">
        <f t="shared" si="6"/>
        <v>574965.6595</v>
      </c>
      <c r="U77" s="8">
        <f>IF(AND(Inputs!$B$79=1,B77="OPEN",A77&gt;=Inputs!$B$82,C77&gt;=$B$10,MOD(C77-$B$10,$B$9)=0),MIN(MAX(0,T77-$B$8)*Inputs!$B$81,MAX(0,H77+J77-K77)),0)</f>
        <v>0</v>
      </c>
      <c r="V77" s="8">
        <f>IF(AND(Inputs!$B$79=1,B77="OPEN",A77&gt;=Inputs!$B$82,C77&gt;=$B$10,MOD(C77-$B$10,$B$9)=0),MIN(MAX(0,MAX(0,T77-$B$8)*Inputs!$B$81-U77),MAX(0,G77-I77)),0)</f>
        <v>0</v>
      </c>
      <c r="W77" s="8">
        <f t="shared" si="7"/>
        <v>0</v>
      </c>
      <c r="X77" s="8">
        <f t="shared" si="8"/>
        <v>0</v>
      </c>
      <c r="Y77" s="8">
        <f t="shared" si="9"/>
        <v>0</v>
      </c>
      <c r="Z77" s="95">
        <f t="shared" si="10"/>
        <v>574965.6595</v>
      </c>
    </row>
    <row r="78">
      <c r="A78" s="8">
        <f t="shared" si="11"/>
        <v>47</v>
      </c>
      <c r="B78" s="96" t="str">
        <f t="array" ref="B78">INDEX('Monthly Base'!$B$5:$B$67,A78+1)</f>
        <v>OPEN</v>
      </c>
      <c r="C78" s="96">
        <f t="array" ref="C78">INDEX('Monthly Base'!$C$5:$C$67,A78+1)</f>
        <v>45</v>
      </c>
      <c r="D78" s="95">
        <f t="array" ref="D78">INDEX('Monthly Base'!$O$5:$O$67,A78+1)</f>
        <v>87659.4661</v>
      </c>
      <c r="E78" s="95">
        <f t="array" ref="E78">INDEX('Monthly Base'!$Y$5:$Y$67,A78+1)</f>
        <v>0</v>
      </c>
      <c r="F78" s="95">
        <f t="shared" si="12"/>
        <v>574965.6595</v>
      </c>
      <c r="G78" s="8">
        <f t="shared" ref="G78:H78" si="61">W77</f>
        <v>0</v>
      </c>
      <c r="H78" s="8">
        <f t="shared" si="61"/>
        <v>0</v>
      </c>
      <c r="I78" s="8">
        <f>IF(OR(A78&lt;Inputs!$B$15,G78&lt;=0),0,MIN(Financing!$B$10,G78))</f>
        <v>0</v>
      </c>
      <c r="J78" s="8">
        <f>IF(OR(A78&lt;Inputs!$B$15,H78&lt;=0),0,H78*Inputs!$B$13/12)</f>
        <v>0</v>
      </c>
      <c r="K78" s="8">
        <f>IF(OR(A78&lt;Inputs!$B$15,H78&lt;=0),0,MIN(Financing!$C$10,H78+J78))</f>
        <v>0</v>
      </c>
      <c r="L78" s="8">
        <f t="shared" si="3"/>
        <v>0</v>
      </c>
      <c r="M78" s="8">
        <f t="shared" si="14"/>
        <v>0</v>
      </c>
      <c r="N78" s="8">
        <f t="shared" si="15"/>
        <v>10000</v>
      </c>
      <c r="O78" s="8">
        <f t="shared" si="16"/>
        <v>10000</v>
      </c>
      <c r="P78" s="8">
        <f t="shared" si="4"/>
        <v>24000</v>
      </c>
      <c r="Q78" s="95">
        <f>D78-J78-IF(C78=0,0,Inputs!$B$18)-P78</f>
        <v>56846.4661</v>
      </c>
      <c r="R78" s="8">
        <f>MAX(0,Q78-M78)*Inputs!$B$17</f>
        <v>13074.6872</v>
      </c>
      <c r="S78" s="8">
        <f t="shared" si="5"/>
        <v>0</v>
      </c>
      <c r="T78" s="95">
        <f t="shared" si="6"/>
        <v>625550.4384</v>
      </c>
      <c r="U78" s="8">
        <f>IF(AND(Inputs!$B$79=1,B78="OPEN",A78&gt;=Inputs!$B$82,C78&gt;=$B$10,MOD(C78-$B$10,$B$9)=0),MIN(MAX(0,T78-$B$8)*Inputs!$B$81,MAX(0,H78+J78-K78)),0)</f>
        <v>0</v>
      </c>
      <c r="V78" s="8">
        <f>IF(AND(Inputs!$B$79=1,B78="OPEN",A78&gt;=Inputs!$B$82,C78&gt;=$B$10,MOD(C78-$B$10,$B$9)=0),MIN(MAX(0,MAX(0,T78-$B$8)*Inputs!$B$81-U78),MAX(0,G78-I78)),0)</f>
        <v>0</v>
      </c>
      <c r="W78" s="8">
        <f t="shared" si="7"/>
        <v>0</v>
      </c>
      <c r="X78" s="8">
        <f t="shared" si="8"/>
        <v>0</v>
      </c>
      <c r="Y78" s="8">
        <f t="shared" si="9"/>
        <v>0</v>
      </c>
      <c r="Z78" s="95">
        <f t="shared" si="10"/>
        <v>625550.4384</v>
      </c>
    </row>
    <row r="79">
      <c r="A79" s="8">
        <f t="shared" si="11"/>
        <v>48</v>
      </c>
      <c r="B79" s="96" t="str">
        <f t="array" ref="B79">INDEX('Monthly Base'!$B$5:$B$67,A79+1)</f>
        <v>OPEN</v>
      </c>
      <c r="C79" s="96">
        <f t="array" ref="C79">INDEX('Monthly Base'!$C$5:$C$67,A79+1)</f>
        <v>46</v>
      </c>
      <c r="D79" s="95">
        <f t="array" ref="D79">INDEX('Monthly Base'!$O$5:$O$67,A79+1)</f>
        <v>88969.11864</v>
      </c>
      <c r="E79" s="95">
        <f t="array" ref="E79">INDEX('Monthly Base'!$Y$5:$Y$67,A79+1)</f>
        <v>0</v>
      </c>
      <c r="F79" s="95">
        <f t="shared" si="12"/>
        <v>625550.4384</v>
      </c>
      <c r="G79" s="8">
        <f t="shared" ref="G79:H79" si="62">W78</f>
        <v>0</v>
      </c>
      <c r="H79" s="8">
        <f t="shared" si="62"/>
        <v>0</v>
      </c>
      <c r="I79" s="8">
        <f>IF(OR(A79&lt;Inputs!$B$15,G79&lt;=0),0,MIN(Financing!$B$10,G79))</f>
        <v>0</v>
      </c>
      <c r="J79" s="8">
        <f>IF(OR(A79&lt;Inputs!$B$15,H79&lt;=0),0,H79*Inputs!$B$13/12)</f>
        <v>0</v>
      </c>
      <c r="K79" s="8">
        <f>IF(OR(A79&lt;Inputs!$B$15,H79&lt;=0),0,MIN(Financing!$C$10,H79+J79))</f>
        <v>0</v>
      </c>
      <c r="L79" s="8">
        <f t="shared" si="3"/>
        <v>0</v>
      </c>
      <c r="M79" s="8">
        <f t="shared" si="14"/>
        <v>0</v>
      </c>
      <c r="N79" s="8">
        <f t="shared" si="15"/>
        <v>10000</v>
      </c>
      <c r="O79" s="8">
        <f t="shared" si="16"/>
        <v>10000</v>
      </c>
      <c r="P79" s="8">
        <f t="shared" si="4"/>
        <v>24000</v>
      </c>
      <c r="Q79" s="95">
        <f>D79-J79-IF(C79=0,0,Inputs!$B$18)-P79</f>
        <v>58156.11864</v>
      </c>
      <c r="R79" s="8">
        <f>MAX(0,Q79-M79)*Inputs!$B$17</f>
        <v>13375.90729</v>
      </c>
      <c r="S79" s="8">
        <f t="shared" si="5"/>
        <v>0</v>
      </c>
      <c r="T79" s="95">
        <f t="shared" si="6"/>
        <v>677143.6497</v>
      </c>
      <c r="U79" s="8">
        <f>IF(AND(Inputs!$B$79=1,B79="OPEN",A79&gt;=Inputs!$B$82,C79&gt;=$B$10,MOD(C79-$B$10,$B$9)=0),MIN(MAX(0,T79-$B$8)*Inputs!$B$81,MAX(0,H79+J79-K79)),0)</f>
        <v>0</v>
      </c>
      <c r="V79" s="8">
        <f>IF(AND(Inputs!$B$79=1,B79="OPEN",A79&gt;=Inputs!$B$82,C79&gt;=$B$10,MOD(C79-$B$10,$B$9)=0),MIN(MAX(0,MAX(0,T79-$B$8)*Inputs!$B$81-U79),MAX(0,G79-I79)),0)</f>
        <v>0</v>
      </c>
      <c r="W79" s="8">
        <f t="shared" si="7"/>
        <v>0</v>
      </c>
      <c r="X79" s="8">
        <f t="shared" si="8"/>
        <v>0</v>
      </c>
      <c r="Y79" s="8">
        <f t="shared" si="9"/>
        <v>0</v>
      </c>
      <c r="Z79" s="95">
        <f t="shared" si="10"/>
        <v>677143.6497</v>
      </c>
    </row>
    <row r="80">
      <c r="A80" s="8">
        <f t="shared" si="11"/>
        <v>49</v>
      </c>
      <c r="B80" s="96" t="str">
        <f t="array" ref="B80">INDEX('Monthly Base'!$B$5:$B$67,A80+1)</f>
        <v>OPEN</v>
      </c>
      <c r="C80" s="96">
        <f t="array" ref="C80">INDEX('Monthly Base'!$C$5:$C$67,A80+1)</f>
        <v>47</v>
      </c>
      <c r="D80" s="95">
        <f t="array" ref="D80">INDEX('Monthly Base'!$O$5:$O$67,A80+1)</f>
        <v>90091.67797</v>
      </c>
      <c r="E80" s="95">
        <f t="array" ref="E80">INDEX('Monthly Base'!$Y$5:$Y$67,A80+1)</f>
        <v>0</v>
      </c>
      <c r="F80" s="95">
        <f t="shared" si="12"/>
        <v>677143.6497</v>
      </c>
      <c r="G80" s="8">
        <f t="shared" ref="G80:H80" si="63">W79</f>
        <v>0</v>
      </c>
      <c r="H80" s="8">
        <f t="shared" si="63"/>
        <v>0</v>
      </c>
      <c r="I80" s="8">
        <f>IF(OR(A80&lt;Inputs!$B$15,G80&lt;=0),0,MIN(Financing!$B$10,G80))</f>
        <v>0</v>
      </c>
      <c r="J80" s="8">
        <f>IF(OR(A80&lt;Inputs!$B$15,H80&lt;=0),0,H80*Inputs!$B$13/12)</f>
        <v>0</v>
      </c>
      <c r="K80" s="8">
        <f>IF(OR(A80&lt;Inputs!$B$15,H80&lt;=0),0,MIN(Financing!$C$10,H80+J80))</f>
        <v>0</v>
      </c>
      <c r="L80" s="8">
        <f t="shared" si="3"/>
        <v>0</v>
      </c>
      <c r="M80" s="8">
        <f t="shared" si="14"/>
        <v>0</v>
      </c>
      <c r="N80" s="8">
        <f t="shared" si="15"/>
        <v>10000</v>
      </c>
      <c r="O80" s="8">
        <f t="shared" si="16"/>
        <v>10000</v>
      </c>
      <c r="P80" s="8">
        <f t="shared" si="4"/>
        <v>24000</v>
      </c>
      <c r="Q80" s="95">
        <f>D80-J80-IF(C80=0,0,Inputs!$B$18)-P80</f>
        <v>59278.67797</v>
      </c>
      <c r="R80" s="8">
        <f>MAX(0,Q80-M80)*Inputs!$B$17</f>
        <v>13634.09593</v>
      </c>
      <c r="S80" s="8">
        <f t="shared" si="5"/>
        <v>0</v>
      </c>
      <c r="T80" s="95">
        <f t="shared" si="6"/>
        <v>729601.2317</v>
      </c>
      <c r="U80" s="8">
        <f>IF(AND(Inputs!$B$79=1,B80="OPEN",A80&gt;=Inputs!$B$82,C80&gt;=$B$10,MOD(C80-$B$10,$B$9)=0),MIN(MAX(0,T80-$B$8)*Inputs!$B$81,MAX(0,H80+J80-K80)),0)</f>
        <v>0</v>
      </c>
      <c r="V80" s="8">
        <f>IF(AND(Inputs!$B$79=1,B80="OPEN",A80&gt;=Inputs!$B$82,C80&gt;=$B$10,MOD(C80-$B$10,$B$9)=0),MIN(MAX(0,MAX(0,T80-$B$8)*Inputs!$B$81-U80),MAX(0,G80-I80)),0)</f>
        <v>0</v>
      </c>
      <c r="W80" s="8">
        <f t="shared" si="7"/>
        <v>0</v>
      </c>
      <c r="X80" s="8">
        <f t="shared" si="8"/>
        <v>0</v>
      </c>
      <c r="Y80" s="8">
        <f t="shared" si="9"/>
        <v>0</v>
      </c>
      <c r="Z80" s="95">
        <f t="shared" si="10"/>
        <v>729601.2317</v>
      </c>
    </row>
    <row r="81">
      <c r="A81" s="8">
        <f t="shared" si="11"/>
        <v>50</v>
      </c>
      <c r="B81" s="96" t="str">
        <f t="array" ref="B81">INDEX('Monthly Base'!$B$5:$B$67,A81+1)</f>
        <v>OPEN</v>
      </c>
      <c r="C81" s="96">
        <f t="array" ref="C81">INDEX('Monthly Base'!$C$5:$C$67,A81+1)</f>
        <v>48</v>
      </c>
      <c r="D81" s="95">
        <f t="array" ref="D81">INDEX('Monthly Base'!$O$5:$O$67,A81+1)</f>
        <v>91214.23729</v>
      </c>
      <c r="E81" s="95">
        <f t="array" ref="E81">INDEX('Monthly Base'!$Y$5:$Y$67,A81+1)</f>
        <v>0</v>
      </c>
      <c r="F81" s="95">
        <f t="shared" si="12"/>
        <v>729601.2317</v>
      </c>
      <c r="G81" s="8">
        <f t="shared" ref="G81:H81" si="64">W80</f>
        <v>0</v>
      </c>
      <c r="H81" s="8">
        <f t="shared" si="64"/>
        <v>0</v>
      </c>
      <c r="I81" s="8">
        <f>IF(OR(A81&lt;Inputs!$B$15,G81&lt;=0),0,MIN(Financing!$B$10,G81))</f>
        <v>0</v>
      </c>
      <c r="J81" s="8">
        <f>IF(OR(A81&lt;Inputs!$B$15,H81&lt;=0),0,H81*Inputs!$B$13/12)</f>
        <v>0</v>
      </c>
      <c r="K81" s="8">
        <f>IF(OR(A81&lt;Inputs!$B$15,H81&lt;=0),0,MIN(Financing!$C$10,H81+J81))</f>
        <v>0</v>
      </c>
      <c r="L81" s="8">
        <f t="shared" si="3"/>
        <v>0</v>
      </c>
      <c r="M81" s="8">
        <f t="shared" si="14"/>
        <v>0</v>
      </c>
      <c r="N81" s="8">
        <f t="shared" si="15"/>
        <v>10000</v>
      </c>
      <c r="O81" s="8">
        <f t="shared" si="16"/>
        <v>10000</v>
      </c>
      <c r="P81" s="8">
        <f t="shared" si="4"/>
        <v>24000</v>
      </c>
      <c r="Q81" s="95">
        <f>D81-J81-IF(C81=0,0,Inputs!$B$18)-P81</f>
        <v>60401.23729</v>
      </c>
      <c r="R81" s="8">
        <f>MAX(0,Q81-M81)*Inputs!$B$17</f>
        <v>13892.28458</v>
      </c>
      <c r="S81" s="8">
        <f t="shared" si="5"/>
        <v>0</v>
      </c>
      <c r="T81" s="95">
        <f t="shared" si="6"/>
        <v>782923.1845</v>
      </c>
      <c r="U81" s="8">
        <f>IF(AND(Inputs!$B$79=1,B81="OPEN",A81&gt;=Inputs!$B$82,C81&gt;=$B$10,MOD(C81-$B$10,$B$9)=0),MIN(MAX(0,T81-$B$8)*Inputs!$B$81,MAX(0,H81+J81-K81)),0)</f>
        <v>0</v>
      </c>
      <c r="V81" s="8">
        <f>IF(AND(Inputs!$B$79=1,B81="OPEN",A81&gt;=Inputs!$B$82,C81&gt;=$B$10,MOD(C81-$B$10,$B$9)=0),MIN(MAX(0,MAX(0,T81-$B$8)*Inputs!$B$81-U81),MAX(0,G81-I81)),0)</f>
        <v>0</v>
      </c>
      <c r="W81" s="8">
        <f t="shared" si="7"/>
        <v>0</v>
      </c>
      <c r="X81" s="8">
        <f t="shared" si="8"/>
        <v>0</v>
      </c>
      <c r="Y81" s="8">
        <f t="shared" si="9"/>
        <v>0</v>
      </c>
      <c r="Z81" s="95">
        <f t="shared" si="10"/>
        <v>782923.1845</v>
      </c>
    </row>
    <row r="82">
      <c r="A82" s="8">
        <f t="shared" si="11"/>
        <v>51</v>
      </c>
      <c r="B82" s="96" t="str">
        <f t="array" ref="B82">INDEX('Monthly Base'!$B$5:$B$67,A82+1)</f>
        <v>OPEN</v>
      </c>
      <c r="C82" s="96">
        <f t="array" ref="C82">INDEX('Monthly Base'!$C$5:$C$67,A82+1)</f>
        <v>49</v>
      </c>
      <c r="D82" s="95">
        <f t="array" ref="D82">INDEX('Monthly Base'!$O$5:$O$67,A82+1)</f>
        <v>91962.61017</v>
      </c>
      <c r="E82" s="95">
        <f t="array" ref="E82">INDEX('Monthly Base'!$Y$5:$Y$67,A82+1)</f>
        <v>0</v>
      </c>
      <c r="F82" s="95">
        <f t="shared" si="12"/>
        <v>782923.1845</v>
      </c>
      <c r="G82" s="8">
        <f t="shared" ref="G82:H82" si="65">W81</f>
        <v>0</v>
      </c>
      <c r="H82" s="8">
        <f t="shared" si="65"/>
        <v>0</v>
      </c>
      <c r="I82" s="8">
        <f>IF(OR(A82&lt;Inputs!$B$15,G82&lt;=0),0,MIN(Financing!$B$10,G82))</f>
        <v>0</v>
      </c>
      <c r="J82" s="8">
        <f>IF(OR(A82&lt;Inputs!$B$15,H82&lt;=0),0,H82*Inputs!$B$13/12)</f>
        <v>0</v>
      </c>
      <c r="K82" s="8">
        <f>IF(OR(A82&lt;Inputs!$B$15,H82&lt;=0),0,MIN(Financing!$C$10,H82+J82))</f>
        <v>0</v>
      </c>
      <c r="L82" s="8">
        <f t="shared" si="3"/>
        <v>0</v>
      </c>
      <c r="M82" s="8">
        <f t="shared" si="14"/>
        <v>0</v>
      </c>
      <c r="N82" s="8">
        <f t="shared" si="15"/>
        <v>10000</v>
      </c>
      <c r="O82" s="8">
        <f t="shared" si="16"/>
        <v>10000</v>
      </c>
      <c r="P82" s="8">
        <f t="shared" si="4"/>
        <v>24000</v>
      </c>
      <c r="Q82" s="95">
        <f>D82-J82-IF(C82=0,0,Inputs!$B$18)-P82</f>
        <v>61149.61017</v>
      </c>
      <c r="R82" s="8">
        <f>MAX(0,Q82-M82)*Inputs!$B$17</f>
        <v>14064.41034</v>
      </c>
      <c r="S82" s="8">
        <f t="shared" si="5"/>
        <v>0</v>
      </c>
      <c r="T82" s="95">
        <f t="shared" si="6"/>
        <v>836821.3843</v>
      </c>
      <c r="U82" s="8">
        <f>IF(AND(Inputs!$B$79=1,B82="OPEN",A82&gt;=Inputs!$B$82,C82&gt;=$B$10,MOD(C82-$B$10,$B$9)=0),MIN(MAX(0,T82-$B$8)*Inputs!$B$81,MAX(0,H82+J82-K82)),0)</f>
        <v>0</v>
      </c>
      <c r="V82" s="8">
        <f>IF(AND(Inputs!$B$79=1,B82="OPEN",A82&gt;=Inputs!$B$82,C82&gt;=$B$10,MOD(C82-$B$10,$B$9)=0),MIN(MAX(0,MAX(0,T82-$B$8)*Inputs!$B$81-U82),MAX(0,G82-I82)),0)</f>
        <v>0</v>
      </c>
      <c r="W82" s="8">
        <f t="shared" si="7"/>
        <v>0</v>
      </c>
      <c r="X82" s="8">
        <f t="shared" si="8"/>
        <v>0</v>
      </c>
      <c r="Y82" s="8">
        <f t="shared" si="9"/>
        <v>0</v>
      </c>
      <c r="Z82" s="95">
        <f t="shared" si="10"/>
        <v>836821.3843</v>
      </c>
    </row>
    <row r="83">
      <c r="A83" s="8">
        <f t="shared" si="11"/>
        <v>52</v>
      </c>
      <c r="B83" s="96" t="str">
        <f t="array" ref="B83">INDEX('Monthly Base'!$B$5:$B$67,A83+1)</f>
        <v>OPEN</v>
      </c>
      <c r="C83" s="96">
        <f t="array" ref="C83">INDEX('Monthly Base'!$C$5:$C$67,A83+1)</f>
        <v>50</v>
      </c>
      <c r="D83" s="95">
        <f t="array" ref="D83">INDEX('Monthly Base'!$O$5:$O$67,A83+1)</f>
        <v>92710.98305</v>
      </c>
      <c r="E83" s="95">
        <f t="array" ref="E83">INDEX('Monthly Base'!$Y$5:$Y$67,A83+1)</f>
        <v>0</v>
      </c>
      <c r="F83" s="95">
        <f t="shared" si="12"/>
        <v>836821.3843</v>
      </c>
      <c r="G83" s="8">
        <f t="shared" ref="G83:H83" si="66">W82</f>
        <v>0</v>
      </c>
      <c r="H83" s="8">
        <f t="shared" si="66"/>
        <v>0</v>
      </c>
      <c r="I83" s="8">
        <f>IF(OR(A83&lt;Inputs!$B$15,G83&lt;=0),0,MIN(Financing!$B$10,G83))</f>
        <v>0</v>
      </c>
      <c r="J83" s="8">
        <f>IF(OR(A83&lt;Inputs!$B$15,H83&lt;=0),0,H83*Inputs!$B$13/12)</f>
        <v>0</v>
      </c>
      <c r="K83" s="8">
        <f>IF(OR(A83&lt;Inputs!$B$15,H83&lt;=0),0,MIN(Financing!$C$10,H83+J83))</f>
        <v>0</v>
      </c>
      <c r="L83" s="8">
        <f t="shared" si="3"/>
        <v>0</v>
      </c>
      <c r="M83" s="8">
        <f t="shared" si="14"/>
        <v>0</v>
      </c>
      <c r="N83" s="8">
        <f t="shared" si="15"/>
        <v>10000</v>
      </c>
      <c r="O83" s="8">
        <f t="shared" si="16"/>
        <v>10000</v>
      </c>
      <c r="P83" s="8">
        <f t="shared" si="4"/>
        <v>24000</v>
      </c>
      <c r="Q83" s="95">
        <f>D83-J83-IF(C83=0,0,Inputs!$B$18)-P83</f>
        <v>61897.98305</v>
      </c>
      <c r="R83" s="8">
        <f>MAX(0,Q83-M83)*Inputs!$B$17</f>
        <v>14236.5361</v>
      </c>
      <c r="S83" s="8">
        <f t="shared" si="5"/>
        <v>0</v>
      </c>
      <c r="T83" s="95">
        <f t="shared" si="6"/>
        <v>891295.8312</v>
      </c>
      <c r="U83" s="8">
        <f>IF(AND(Inputs!$B$79=1,B83="OPEN",A83&gt;=Inputs!$B$82,C83&gt;=$B$10,MOD(C83-$B$10,$B$9)=0),MIN(MAX(0,T83-$B$8)*Inputs!$B$81,MAX(0,H83+J83-K83)),0)</f>
        <v>0</v>
      </c>
      <c r="V83" s="8">
        <f>IF(AND(Inputs!$B$79=1,B83="OPEN",A83&gt;=Inputs!$B$82,C83&gt;=$B$10,MOD(C83-$B$10,$B$9)=0),MIN(MAX(0,MAX(0,T83-$B$8)*Inputs!$B$81-U83),MAX(0,G83-I83)),0)</f>
        <v>0</v>
      </c>
      <c r="W83" s="8">
        <f t="shared" si="7"/>
        <v>0</v>
      </c>
      <c r="X83" s="8">
        <f t="shared" si="8"/>
        <v>0</v>
      </c>
      <c r="Y83" s="8">
        <f t="shared" si="9"/>
        <v>0</v>
      </c>
      <c r="Z83" s="95">
        <f t="shared" si="10"/>
        <v>891295.8312</v>
      </c>
    </row>
    <row r="84">
      <c r="A84" s="8">
        <f t="shared" si="11"/>
        <v>53</v>
      </c>
      <c r="B84" s="96" t="str">
        <f t="array" ref="B84">INDEX('Monthly Base'!$B$5:$B$67,A84+1)</f>
        <v>OPEN</v>
      </c>
      <c r="C84" s="96">
        <f t="array" ref="C84">INDEX('Monthly Base'!$C$5:$C$67,A84+1)</f>
        <v>51</v>
      </c>
      <c r="D84" s="95">
        <f t="array" ref="D84">INDEX('Monthly Base'!$O$5:$O$67,A84+1)</f>
        <v>93646.44915</v>
      </c>
      <c r="E84" s="95">
        <f t="array" ref="E84">INDEX('Monthly Base'!$Y$5:$Y$67,A84+1)</f>
        <v>0</v>
      </c>
      <c r="F84" s="95">
        <f t="shared" si="12"/>
        <v>891295.8312</v>
      </c>
      <c r="G84" s="8">
        <f t="shared" ref="G84:H84" si="67">W83</f>
        <v>0</v>
      </c>
      <c r="H84" s="8">
        <f t="shared" si="67"/>
        <v>0</v>
      </c>
      <c r="I84" s="8">
        <f>IF(OR(A84&lt;Inputs!$B$15,G84&lt;=0),0,MIN(Financing!$B$10,G84))</f>
        <v>0</v>
      </c>
      <c r="J84" s="8">
        <f>IF(OR(A84&lt;Inputs!$B$15,H84&lt;=0),0,H84*Inputs!$B$13/12)</f>
        <v>0</v>
      </c>
      <c r="K84" s="8">
        <f>IF(OR(A84&lt;Inputs!$B$15,H84&lt;=0),0,MIN(Financing!$C$10,H84+J84))</f>
        <v>0</v>
      </c>
      <c r="L84" s="8">
        <f t="shared" si="3"/>
        <v>0</v>
      </c>
      <c r="M84" s="8">
        <f t="shared" si="14"/>
        <v>0</v>
      </c>
      <c r="N84" s="8">
        <f t="shared" si="15"/>
        <v>10000</v>
      </c>
      <c r="O84" s="8">
        <f t="shared" si="16"/>
        <v>10000</v>
      </c>
      <c r="P84" s="8">
        <f t="shared" si="4"/>
        <v>24000</v>
      </c>
      <c r="Q84" s="95">
        <f>D84-J84-IF(C84=0,0,Inputs!$B$18)-P84</f>
        <v>62833.44915</v>
      </c>
      <c r="R84" s="8">
        <f>MAX(0,Q84-M84)*Inputs!$B$17</f>
        <v>14451.69331</v>
      </c>
      <c r="S84" s="8">
        <f t="shared" si="5"/>
        <v>0</v>
      </c>
      <c r="T84" s="95">
        <f t="shared" si="6"/>
        <v>946490.5871</v>
      </c>
      <c r="U84" s="8">
        <f>IF(AND(Inputs!$B$79=1,B84="OPEN",A84&gt;=Inputs!$B$82,C84&gt;=$B$10,MOD(C84-$B$10,$B$9)=0),MIN(MAX(0,T84-$B$8)*Inputs!$B$81,MAX(0,H84+J84-K84)),0)</f>
        <v>0</v>
      </c>
      <c r="V84" s="8">
        <f>IF(AND(Inputs!$B$79=1,B84="OPEN",A84&gt;=Inputs!$B$82,C84&gt;=$B$10,MOD(C84-$B$10,$B$9)=0),MIN(MAX(0,MAX(0,T84-$B$8)*Inputs!$B$81-U84),MAX(0,G84-I84)),0)</f>
        <v>0</v>
      </c>
      <c r="W84" s="8">
        <f t="shared" si="7"/>
        <v>0</v>
      </c>
      <c r="X84" s="8">
        <f t="shared" si="8"/>
        <v>0</v>
      </c>
      <c r="Y84" s="8">
        <f t="shared" si="9"/>
        <v>0</v>
      </c>
      <c r="Z84" s="95">
        <f t="shared" si="10"/>
        <v>946490.5871</v>
      </c>
    </row>
    <row r="85">
      <c r="A85" s="8">
        <f t="shared" si="11"/>
        <v>54</v>
      </c>
      <c r="B85" s="96" t="str">
        <f t="array" ref="B85">INDEX('Monthly Base'!$B$5:$B$67,A85+1)</f>
        <v>OPEN</v>
      </c>
      <c r="C85" s="96">
        <f t="array" ref="C85">INDEX('Monthly Base'!$C$5:$C$67,A85+1)</f>
        <v>52</v>
      </c>
      <c r="D85" s="95">
        <f t="array" ref="D85">INDEX('Monthly Base'!$O$5:$O$67,A85+1)</f>
        <v>94394.82203</v>
      </c>
      <c r="E85" s="95">
        <f t="array" ref="E85">INDEX('Monthly Base'!$Y$5:$Y$67,A85+1)</f>
        <v>0</v>
      </c>
      <c r="F85" s="95">
        <f t="shared" si="12"/>
        <v>946490.5871</v>
      </c>
      <c r="G85" s="8">
        <f t="shared" ref="G85:H85" si="68">W84</f>
        <v>0</v>
      </c>
      <c r="H85" s="8">
        <f t="shared" si="68"/>
        <v>0</v>
      </c>
      <c r="I85" s="8">
        <f>IF(OR(A85&lt;Inputs!$B$15,G85&lt;=0),0,MIN(Financing!$B$10,G85))</f>
        <v>0</v>
      </c>
      <c r="J85" s="8">
        <f>IF(OR(A85&lt;Inputs!$B$15,H85&lt;=0),0,H85*Inputs!$B$13/12)</f>
        <v>0</v>
      </c>
      <c r="K85" s="8">
        <f>IF(OR(A85&lt;Inputs!$B$15,H85&lt;=0),0,MIN(Financing!$C$10,H85+J85))</f>
        <v>0</v>
      </c>
      <c r="L85" s="8">
        <f t="shared" si="3"/>
        <v>0</v>
      </c>
      <c r="M85" s="8">
        <f t="shared" si="14"/>
        <v>0</v>
      </c>
      <c r="N85" s="8">
        <f t="shared" si="15"/>
        <v>10000</v>
      </c>
      <c r="O85" s="8">
        <f t="shared" si="16"/>
        <v>10000</v>
      </c>
      <c r="P85" s="8">
        <f t="shared" si="4"/>
        <v>24000</v>
      </c>
      <c r="Q85" s="95">
        <f>D85-J85-IF(C85=0,0,Inputs!$B$18)-P85</f>
        <v>63581.82203</v>
      </c>
      <c r="R85" s="8">
        <f>MAX(0,Q85-M85)*Inputs!$B$17</f>
        <v>14623.81907</v>
      </c>
      <c r="S85" s="8">
        <f t="shared" si="5"/>
        <v>0</v>
      </c>
      <c r="T85" s="95">
        <f t="shared" si="6"/>
        <v>1002261.59</v>
      </c>
      <c r="U85" s="8">
        <f>IF(AND(Inputs!$B$79=1,B85="OPEN",A85&gt;=Inputs!$B$82,C85&gt;=$B$10,MOD(C85-$B$10,$B$9)=0),MIN(MAX(0,T85-$B$8)*Inputs!$B$81,MAX(0,H85+J85-K85)),0)</f>
        <v>0</v>
      </c>
      <c r="V85" s="8">
        <f>IF(AND(Inputs!$B$79=1,B85="OPEN",A85&gt;=Inputs!$B$82,C85&gt;=$B$10,MOD(C85-$B$10,$B$9)=0),MIN(MAX(0,MAX(0,T85-$B$8)*Inputs!$B$81-U85),MAX(0,G85-I85)),0)</f>
        <v>0</v>
      </c>
      <c r="W85" s="8">
        <f t="shared" si="7"/>
        <v>0</v>
      </c>
      <c r="X85" s="8">
        <f t="shared" si="8"/>
        <v>0</v>
      </c>
      <c r="Y85" s="8">
        <f t="shared" si="9"/>
        <v>0</v>
      </c>
      <c r="Z85" s="95">
        <f t="shared" si="10"/>
        <v>1002261.59</v>
      </c>
    </row>
    <row r="86">
      <c r="A86" s="8">
        <f t="shared" si="11"/>
        <v>55</v>
      </c>
      <c r="B86" s="96" t="str">
        <f t="array" ref="B86">INDEX('Monthly Base'!$B$5:$B$67,A86+1)</f>
        <v>OPEN</v>
      </c>
      <c r="C86" s="96">
        <f t="array" ref="C86">INDEX('Monthly Base'!$C$5:$C$67,A86+1)</f>
        <v>53</v>
      </c>
      <c r="D86" s="95">
        <f t="array" ref="D86">INDEX('Monthly Base'!$O$5:$O$67,A86+1)</f>
        <v>95143.19492</v>
      </c>
      <c r="E86" s="95">
        <f t="array" ref="E86">INDEX('Monthly Base'!$Y$5:$Y$67,A86+1)</f>
        <v>0</v>
      </c>
      <c r="F86" s="95">
        <f t="shared" si="12"/>
        <v>1002261.59</v>
      </c>
      <c r="G86" s="8">
        <f t="shared" ref="G86:H86" si="69">W85</f>
        <v>0</v>
      </c>
      <c r="H86" s="8">
        <f t="shared" si="69"/>
        <v>0</v>
      </c>
      <c r="I86" s="8">
        <f>IF(OR(A86&lt;Inputs!$B$15,G86&lt;=0),0,MIN(Financing!$B$10,G86))</f>
        <v>0</v>
      </c>
      <c r="J86" s="8">
        <f>IF(OR(A86&lt;Inputs!$B$15,H86&lt;=0),0,H86*Inputs!$B$13/12)</f>
        <v>0</v>
      </c>
      <c r="K86" s="8">
        <f>IF(OR(A86&lt;Inputs!$B$15,H86&lt;=0),0,MIN(Financing!$C$10,H86+J86))</f>
        <v>0</v>
      </c>
      <c r="L86" s="8">
        <f t="shared" si="3"/>
        <v>0</v>
      </c>
      <c r="M86" s="8">
        <f t="shared" si="14"/>
        <v>0</v>
      </c>
      <c r="N86" s="8">
        <f t="shared" si="15"/>
        <v>10000</v>
      </c>
      <c r="O86" s="8">
        <f t="shared" si="16"/>
        <v>10000</v>
      </c>
      <c r="P86" s="8">
        <f t="shared" si="4"/>
        <v>24000</v>
      </c>
      <c r="Q86" s="95">
        <f>D86-J86-IF(C86=0,0,Inputs!$B$18)-P86</f>
        <v>64330.19492</v>
      </c>
      <c r="R86" s="8">
        <f>MAX(0,Q86-M86)*Inputs!$B$17</f>
        <v>14795.94483</v>
      </c>
      <c r="S86" s="8">
        <f t="shared" si="5"/>
        <v>0</v>
      </c>
      <c r="T86" s="95">
        <f t="shared" si="6"/>
        <v>1058608.84</v>
      </c>
      <c r="U86" s="8">
        <f>IF(AND(Inputs!$B$79=1,B86="OPEN",A86&gt;=Inputs!$B$82,C86&gt;=$B$10,MOD(C86-$B$10,$B$9)=0),MIN(MAX(0,T86-$B$8)*Inputs!$B$81,MAX(0,H86+J86-K86)),0)</f>
        <v>0</v>
      </c>
      <c r="V86" s="8">
        <f>IF(AND(Inputs!$B$79=1,B86="OPEN",A86&gt;=Inputs!$B$82,C86&gt;=$B$10,MOD(C86-$B$10,$B$9)=0),MIN(MAX(0,MAX(0,T86-$B$8)*Inputs!$B$81-U86),MAX(0,G86-I86)),0)</f>
        <v>0</v>
      </c>
      <c r="W86" s="8">
        <f t="shared" si="7"/>
        <v>0</v>
      </c>
      <c r="X86" s="8">
        <f t="shared" si="8"/>
        <v>0</v>
      </c>
      <c r="Y86" s="8">
        <f t="shared" si="9"/>
        <v>0</v>
      </c>
      <c r="Z86" s="95">
        <f t="shared" si="10"/>
        <v>1058608.84</v>
      </c>
    </row>
    <row r="87">
      <c r="A87" s="8">
        <f t="shared" si="11"/>
        <v>56</v>
      </c>
      <c r="B87" s="96" t="str">
        <f t="array" ref="B87">INDEX('Monthly Base'!$B$5:$B$67,A87+1)</f>
        <v>OPEN</v>
      </c>
      <c r="C87" s="96">
        <f t="array" ref="C87">INDEX('Monthly Base'!$C$5:$C$67,A87+1)</f>
        <v>54</v>
      </c>
      <c r="D87" s="95">
        <f t="array" ref="D87">INDEX('Monthly Base'!$O$5:$O$67,A87+1)</f>
        <v>95891.5678</v>
      </c>
      <c r="E87" s="95">
        <f t="array" ref="E87">INDEX('Monthly Base'!$Y$5:$Y$67,A87+1)</f>
        <v>0</v>
      </c>
      <c r="F87" s="95">
        <f t="shared" si="12"/>
        <v>1058608.84</v>
      </c>
      <c r="G87" s="8">
        <f t="shared" ref="G87:H87" si="70">W86</f>
        <v>0</v>
      </c>
      <c r="H87" s="8">
        <f t="shared" si="70"/>
        <v>0</v>
      </c>
      <c r="I87" s="8">
        <f>IF(OR(A87&lt;Inputs!$B$15,G87&lt;=0),0,MIN(Financing!$B$10,G87))</f>
        <v>0</v>
      </c>
      <c r="J87" s="8">
        <f>IF(OR(A87&lt;Inputs!$B$15,H87&lt;=0),0,H87*Inputs!$B$13/12)</f>
        <v>0</v>
      </c>
      <c r="K87" s="8">
        <f>IF(OR(A87&lt;Inputs!$B$15,H87&lt;=0),0,MIN(Financing!$C$10,H87+J87))</f>
        <v>0</v>
      </c>
      <c r="L87" s="8">
        <f t="shared" si="3"/>
        <v>0</v>
      </c>
      <c r="M87" s="8">
        <f t="shared" si="14"/>
        <v>0</v>
      </c>
      <c r="N87" s="8">
        <f t="shared" si="15"/>
        <v>10000</v>
      </c>
      <c r="O87" s="8">
        <f t="shared" si="16"/>
        <v>10000</v>
      </c>
      <c r="P87" s="8">
        <f t="shared" si="4"/>
        <v>24000</v>
      </c>
      <c r="Q87" s="95">
        <f>D87-J87-IF(C87=0,0,Inputs!$B$18)-P87</f>
        <v>65078.5678</v>
      </c>
      <c r="R87" s="8">
        <f>MAX(0,Q87-M87)*Inputs!$B$17</f>
        <v>14968.07059</v>
      </c>
      <c r="S87" s="8">
        <f t="shared" si="5"/>
        <v>0</v>
      </c>
      <c r="T87" s="95">
        <f t="shared" si="6"/>
        <v>1115532.337</v>
      </c>
      <c r="U87" s="8">
        <f>IF(AND(Inputs!$B$79=1,B87="OPEN",A87&gt;=Inputs!$B$82,C87&gt;=$B$10,MOD(C87-$B$10,$B$9)=0),MIN(MAX(0,T87-$B$8)*Inputs!$B$81,MAX(0,H87+J87-K87)),0)</f>
        <v>0</v>
      </c>
      <c r="V87" s="8">
        <f>IF(AND(Inputs!$B$79=1,B87="OPEN",A87&gt;=Inputs!$B$82,C87&gt;=$B$10,MOD(C87-$B$10,$B$9)=0),MIN(MAX(0,MAX(0,T87-$B$8)*Inputs!$B$81-U87),MAX(0,G87-I87)),0)</f>
        <v>0</v>
      </c>
      <c r="W87" s="8">
        <f t="shared" si="7"/>
        <v>0</v>
      </c>
      <c r="X87" s="8">
        <f t="shared" si="8"/>
        <v>0</v>
      </c>
      <c r="Y87" s="8">
        <f t="shared" si="9"/>
        <v>0</v>
      </c>
      <c r="Z87" s="95">
        <f t="shared" si="10"/>
        <v>1115532.337</v>
      </c>
    </row>
    <row r="88">
      <c r="A88" s="8">
        <f t="shared" si="11"/>
        <v>57</v>
      </c>
      <c r="B88" s="96" t="str">
        <f t="array" ref="B88">INDEX('Monthly Base'!$B$5:$B$67,A88+1)</f>
        <v>OPEN</v>
      </c>
      <c r="C88" s="96">
        <f t="array" ref="C88">INDEX('Monthly Base'!$C$5:$C$67,A88+1)</f>
        <v>55</v>
      </c>
      <c r="D88" s="95">
        <f t="array" ref="D88">INDEX('Monthly Base'!$O$5:$O$67,A88+1)</f>
        <v>96639.94068</v>
      </c>
      <c r="E88" s="95">
        <f t="array" ref="E88">INDEX('Monthly Base'!$Y$5:$Y$67,A88+1)</f>
        <v>0</v>
      </c>
      <c r="F88" s="95">
        <f t="shared" si="12"/>
        <v>1115532.337</v>
      </c>
      <c r="G88" s="8">
        <f t="shared" ref="G88:H88" si="71">W87</f>
        <v>0</v>
      </c>
      <c r="H88" s="8">
        <f t="shared" si="71"/>
        <v>0</v>
      </c>
      <c r="I88" s="8">
        <f>IF(OR(A88&lt;Inputs!$B$15,G88&lt;=0),0,MIN(Financing!$B$10,G88))</f>
        <v>0</v>
      </c>
      <c r="J88" s="8">
        <f>IF(OR(A88&lt;Inputs!$B$15,H88&lt;=0),0,H88*Inputs!$B$13/12)</f>
        <v>0</v>
      </c>
      <c r="K88" s="8">
        <f>IF(OR(A88&lt;Inputs!$B$15,H88&lt;=0),0,MIN(Financing!$C$10,H88+J88))</f>
        <v>0</v>
      </c>
      <c r="L88" s="8">
        <f t="shared" si="3"/>
        <v>0</v>
      </c>
      <c r="M88" s="8">
        <f t="shared" si="14"/>
        <v>0</v>
      </c>
      <c r="N88" s="8">
        <f t="shared" si="15"/>
        <v>10000</v>
      </c>
      <c r="O88" s="8">
        <f t="shared" si="16"/>
        <v>10000</v>
      </c>
      <c r="P88" s="8">
        <f t="shared" si="4"/>
        <v>24000</v>
      </c>
      <c r="Q88" s="95">
        <f>D88-J88-IF(C88=0,0,Inputs!$B$18)-P88</f>
        <v>65826.94068</v>
      </c>
      <c r="R88" s="8">
        <f>MAX(0,Q88-M88)*Inputs!$B$17</f>
        <v>15140.19636</v>
      </c>
      <c r="S88" s="8">
        <f t="shared" si="5"/>
        <v>0</v>
      </c>
      <c r="T88" s="95">
        <f t="shared" si="6"/>
        <v>1173032.082</v>
      </c>
      <c r="U88" s="8">
        <f>IF(AND(Inputs!$B$79=1,B88="OPEN",A88&gt;=Inputs!$B$82,C88&gt;=$B$10,MOD(C88-$B$10,$B$9)=0),MIN(MAX(0,T88-$B$8)*Inputs!$B$81,MAX(0,H88+J88-K88)),0)</f>
        <v>0</v>
      </c>
      <c r="V88" s="8">
        <f>IF(AND(Inputs!$B$79=1,B88="OPEN",A88&gt;=Inputs!$B$82,C88&gt;=$B$10,MOD(C88-$B$10,$B$9)=0),MIN(MAX(0,MAX(0,T88-$B$8)*Inputs!$B$81-U88),MAX(0,G88-I88)),0)</f>
        <v>0</v>
      </c>
      <c r="W88" s="8">
        <f t="shared" si="7"/>
        <v>0</v>
      </c>
      <c r="X88" s="8">
        <f t="shared" si="8"/>
        <v>0</v>
      </c>
      <c r="Y88" s="8">
        <f t="shared" si="9"/>
        <v>0</v>
      </c>
      <c r="Z88" s="95">
        <f t="shared" si="10"/>
        <v>1173032.082</v>
      </c>
    </row>
    <row r="89">
      <c r="A89" s="8">
        <f t="shared" si="11"/>
        <v>58</v>
      </c>
      <c r="B89" s="96" t="str">
        <f t="array" ref="B89">INDEX('Monthly Base'!$B$5:$B$67,A89+1)</f>
        <v>OPEN</v>
      </c>
      <c r="C89" s="96">
        <f t="array" ref="C89">INDEX('Monthly Base'!$C$5:$C$67,A89+1)</f>
        <v>56</v>
      </c>
      <c r="D89" s="95">
        <f t="array" ref="D89">INDEX('Monthly Base'!$O$5:$O$67,A89+1)</f>
        <v>97388.31356</v>
      </c>
      <c r="E89" s="95">
        <f t="array" ref="E89">INDEX('Monthly Base'!$Y$5:$Y$67,A89+1)</f>
        <v>0</v>
      </c>
      <c r="F89" s="95">
        <f t="shared" si="12"/>
        <v>1173032.082</v>
      </c>
      <c r="G89" s="8">
        <f t="shared" ref="G89:H89" si="72">W88</f>
        <v>0</v>
      </c>
      <c r="H89" s="8">
        <f t="shared" si="72"/>
        <v>0</v>
      </c>
      <c r="I89" s="8">
        <f>IF(OR(A89&lt;Inputs!$B$15,G89&lt;=0),0,MIN(Financing!$B$10,G89))</f>
        <v>0</v>
      </c>
      <c r="J89" s="8">
        <f>IF(OR(A89&lt;Inputs!$B$15,H89&lt;=0),0,H89*Inputs!$B$13/12)</f>
        <v>0</v>
      </c>
      <c r="K89" s="8">
        <f>IF(OR(A89&lt;Inputs!$B$15,H89&lt;=0),0,MIN(Financing!$C$10,H89+J89))</f>
        <v>0</v>
      </c>
      <c r="L89" s="8">
        <f t="shared" si="3"/>
        <v>0</v>
      </c>
      <c r="M89" s="8">
        <f t="shared" si="14"/>
        <v>0</v>
      </c>
      <c r="N89" s="8">
        <f t="shared" si="15"/>
        <v>10000</v>
      </c>
      <c r="O89" s="8">
        <f t="shared" si="16"/>
        <v>10000</v>
      </c>
      <c r="P89" s="8">
        <f t="shared" si="4"/>
        <v>24000</v>
      </c>
      <c r="Q89" s="95">
        <f>D89-J89-IF(C89=0,0,Inputs!$B$18)-P89</f>
        <v>66575.31356</v>
      </c>
      <c r="R89" s="8">
        <f>MAX(0,Q89-M89)*Inputs!$B$17</f>
        <v>15312.32212</v>
      </c>
      <c r="S89" s="8">
        <f t="shared" si="5"/>
        <v>0</v>
      </c>
      <c r="T89" s="95">
        <f t="shared" si="6"/>
        <v>1231108.073</v>
      </c>
      <c r="U89" s="8">
        <f>IF(AND(Inputs!$B$79=1,B89="OPEN",A89&gt;=Inputs!$B$82,C89&gt;=$B$10,MOD(C89-$B$10,$B$9)=0),MIN(MAX(0,T89-$B$8)*Inputs!$B$81,MAX(0,H89+J89-K89)),0)</f>
        <v>0</v>
      </c>
      <c r="V89" s="8">
        <f>IF(AND(Inputs!$B$79=1,B89="OPEN",A89&gt;=Inputs!$B$82,C89&gt;=$B$10,MOD(C89-$B$10,$B$9)=0),MIN(MAX(0,MAX(0,T89-$B$8)*Inputs!$B$81-U89),MAX(0,G89-I89)),0)</f>
        <v>0</v>
      </c>
      <c r="W89" s="8">
        <f t="shared" si="7"/>
        <v>0</v>
      </c>
      <c r="X89" s="8">
        <f t="shared" si="8"/>
        <v>0</v>
      </c>
      <c r="Y89" s="8">
        <f t="shared" si="9"/>
        <v>0</v>
      </c>
      <c r="Z89" s="95">
        <f t="shared" si="10"/>
        <v>1231108.073</v>
      </c>
    </row>
    <row r="90">
      <c r="A90" s="8">
        <f t="shared" si="11"/>
        <v>59</v>
      </c>
      <c r="B90" s="96" t="str">
        <f t="array" ref="B90">INDEX('Monthly Base'!$B$5:$B$67,A90+1)</f>
        <v>OPEN</v>
      </c>
      <c r="C90" s="96">
        <f t="array" ref="C90">INDEX('Monthly Base'!$C$5:$C$67,A90+1)</f>
        <v>57</v>
      </c>
      <c r="D90" s="95">
        <f t="array" ref="D90">INDEX('Monthly Base'!$O$5:$O$67,A90+1)</f>
        <v>98323.77966</v>
      </c>
      <c r="E90" s="95">
        <f t="array" ref="E90">INDEX('Monthly Base'!$Y$5:$Y$67,A90+1)</f>
        <v>0</v>
      </c>
      <c r="F90" s="95">
        <f t="shared" si="12"/>
        <v>1231108.073</v>
      </c>
      <c r="G90" s="8">
        <f t="shared" ref="G90:H90" si="73">W89</f>
        <v>0</v>
      </c>
      <c r="H90" s="8">
        <f t="shared" si="73"/>
        <v>0</v>
      </c>
      <c r="I90" s="8">
        <f>IF(OR(A90&lt;Inputs!$B$15,G90&lt;=0),0,MIN(Financing!$B$10,G90))</f>
        <v>0</v>
      </c>
      <c r="J90" s="8">
        <f>IF(OR(A90&lt;Inputs!$B$15,H90&lt;=0),0,H90*Inputs!$B$13/12)</f>
        <v>0</v>
      </c>
      <c r="K90" s="8">
        <f>IF(OR(A90&lt;Inputs!$B$15,H90&lt;=0),0,MIN(Financing!$C$10,H90+J90))</f>
        <v>0</v>
      </c>
      <c r="L90" s="8">
        <f t="shared" si="3"/>
        <v>0</v>
      </c>
      <c r="M90" s="8">
        <f t="shared" si="14"/>
        <v>0</v>
      </c>
      <c r="N90" s="8">
        <f t="shared" si="15"/>
        <v>10000</v>
      </c>
      <c r="O90" s="8">
        <f t="shared" si="16"/>
        <v>10000</v>
      </c>
      <c r="P90" s="8">
        <f t="shared" si="4"/>
        <v>24000</v>
      </c>
      <c r="Q90" s="95">
        <f>D90-J90-IF(C90=0,0,Inputs!$B$18)-P90</f>
        <v>67510.77966</v>
      </c>
      <c r="R90" s="8">
        <f>MAX(0,Q90-M90)*Inputs!$B$17</f>
        <v>15527.47932</v>
      </c>
      <c r="S90" s="8">
        <f t="shared" si="5"/>
        <v>0</v>
      </c>
      <c r="T90" s="95">
        <f t="shared" si="6"/>
        <v>1289904.373</v>
      </c>
      <c r="U90" s="8">
        <f>IF(AND(Inputs!$B$79=1,B90="OPEN",A90&gt;=Inputs!$B$82,C90&gt;=$B$10,MOD(C90-$B$10,$B$9)=0),MIN(MAX(0,T90-$B$8)*Inputs!$B$81,MAX(0,H90+J90-K90)),0)</f>
        <v>0</v>
      </c>
      <c r="V90" s="8">
        <f>IF(AND(Inputs!$B$79=1,B90="OPEN",A90&gt;=Inputs!$B$82,C90&gt;=$B$10,MOD(C90-$B$10,$B$9)=0),MIN(MAX(0,MAX(0,T90-$B$8)*Inputs!$B$81-U90),MAX(0,G90-I90)),0)</f>
        <v>0</v>
      </c>
      <c r="W90" s="8">
        <f t="shared" si="7"/>
        <v>0</v>
      </c>
      <c r="X90" s="8">
        <f t="shared" si="8"/>
        <v>0</v>
      </c>
      <c r="Y90" s="8">
        <f t="shared" si="9"/>
        <v>0</v>
      </c>
      <c r="Z90" s="95">
        <f t="shared" si="10"/>
        <v>1289904.373</v>
      </c>
    </row>
    <row r="91">
      <c r="A91" s="8">
        <f t="shared" si="11"/>
        <v>60</v>
      </c>
      <c r="B91" s="96" t="str">
        <f t="array" ref="B91">INDEX('Monthly Base'!$B$5:$B$67,A91+1)</f>
        <v>OPEN</v>
      </c>
      <c r="C91" s="96">
        <f t="array" ref="C91">INDEX('Monthly Base'!$C$5:$C$67,A91+1)</f>
        <v>58</v>
      </c>
      <c r="D91" s="95">
        <f t="array" ref="D91">INDEX('Monthly Base'!$O$5:$O$67,A91+1)</f>
        <v>99072.15254</v>
      </c>
      <c r="E91" s="95">
        <f t="array" ref="E91">INDEX('Monthly Base'!$Y$5:$Y$67,A91+1)</f>
        <v>0</v>
      </c>
      <c r="F91" s="95">
        <f t="shared" si="12"/>
        <v>1289904.373</v>
      </c>
      <c r="G91" s="8">
        <f t="shared" ref="G91:H91" si="74">W90</f>
        <v>0</v>
      </c>
      <c r="H91" s="8">
        <f t="shared" si="74"/>
        <v>0</v>
      </c>
      <c r="I91" s="8">
        <f>IF(OR(A91&lt;Inputs!$B$15,G91&lt;=0),0,MIN(Financing!$B$10,G91))</f>
        <v>0</v>
      </c>
      <c r="J91" s="8">
        <f>IF(OR(A91&lt;Inputs!$B$15,H91&lt;=0),0,H91*Inputs!$B$13/12)</f>
        <v>0</v>
      </c>
      <c r="K91" s="8">
        <f>IF(OR(A91&lt;Inputs!$B$15,H91&lt;=0),0,MIN(Financing!$C$10,H91+J91))</f>
        <v>0</v>
      </c>
      <c r="L91" s="8">
        <f t="shared" si="3"/>
        <v>0</v>
      </c>
      <c r="M91" s="8">
        <f t="shared" si="14"/>
        <v>0</v>
      </c>
      <c r="N91" s="8">
        <f t="shared" si="15"/>
        <v>10000</v>
      </c>
      <c r="O91" s="8">
        <f t="shared" si="16"/>
        <v>10000</v>
      </c>
      <c r="P91" s="8">
        <f t="shared" si="4"/>
        <v>24000</v>
      </c>
      <c r="Q91" s="95">
        <f>D91-J91-IF(C91=0,0,Inputs!$B$18)-P91</f>
        <v>68259.15254</v>
      </c>
      <c r="R91" s="8">
        <f>MAX(0,Q91-M91)*Inputs!$B$17</f>
        <v>15699.60508</v>
      </c>
      <c r="S91" s="8">
        <f t="shared" si="5"/>
        <v>0</v>
      </c>
      <c r="T91" s="95">
        <f t="shared" si="6"/>
        <v>1349276.921</v>
      </c>
      <c r="U91" s="8">
        <f>IF(AND(Inputs!$B$79=1,B91="OPEN",A91&gt;=Inputs!$B$82,C91&gt;=$B$10,MOD(C91-$B$10,$B$9)=0),MIN(MAX(0,T91-$B$8)*Inputs!$B$81,MAX(0,H91+J91-K91)),0)</f>
        <v>0</v>
      </c>
      <c r="V91" s="8">
        <f>IF(AND(Inputs!$B$79=1,B91="OPEN",A91&gt;=Inputs!$B$82,C91&gt;=$B$10,MOD(C91-$B$10,$B$9)=0),MIN(MAX(0,MAX(0,T91-$B$8)*Inputs!$B$81-U91),MAX(0,G91-I91)),0)</f>
        <v>0</v>
      </c>
      <c r="W91" s="8">
        <f t="shared" si="7"/>
        <v>0</v>
      </c>
      <c r="X91" s="8">
        <f t="shared" si="8"/>
        <v>0</v>
      </c>
      <c r="Y91" s="8">
        <f t="shared" si="9"/>
        <v>0</v>
      </c>
      <c r="Z91" s="95">
        <f t="shared" si="10"/>
        <v>1349276.921</v>
      </c>
    </row>
    <row r="92">
      <c r="A92" s="8">
        <f t="shared" si="11"/>
        <v>61</v>
      </c>
      <c r="B92" s="96" t="str">
        <f t="array" ref="B92">INDEX('Monthly Base'!$B$5:$B$67,A92+1)</f>
        <v>OPEN</v>
      </c>
      <c r="C92" s="96">
        <f t="array" ref="C92">INDEX('Monthly Base'!$C$5:$C$67,A92+1)</f>
        <v>59</v>
      </c>
      <c r="D92" s="95">
        <f t="array" ref="D92">INDEX('Monthly Base'!$O$5:$O$67,A92+1)</f>
        <v>99820.52542</v>
      </c>
      <c r="E92" s="95">
        <f t="array" ref="E92">INDEX('Monthly Base'!$Y$5:$Y$67,A92+1)</f>
        <v>0</v>
      </c>
      <c r="F92" s="95">
        <f t="shared" si="12"/>
        <v>1349276.921</v>
      </c>
      <c r="G92" s="8">
        <f t="shared" ref="G92:H92" si="75">W91</f>
        <v>0</v>
      </c>
      <c r="H92" s="8">
        <f t="shared" si="75"/>
        <v>0</v>
      </c>
      <c r="I92" s="8">
        <f>IF(OR(A92&lt;Inputs!$B$15,G92&lt;=0),0,MIN(Financing!$B$10,G92))</f>
        <v>0</v>
      </c>
      <c r="J92" s="8">
        <f>IF(OR(A92&lt;Inputs!$B$15,H92&lt;=0),0,H92*Inputs!$B$13/12)</f>
        <v>0</v>
      </c>
      <c r="K92" s="8">
        <f>IF(OR(A92&lt;Inputs!$B$15,H92&lt;=0),0,MIN(Financing!$C$10,H92+J92))</f>
        <v>0</v>
      </c>
      <c r="L92" s="8">
        <f t="shared" si="3"/>
        <v>0</v>
      </c>
      <c r="M92" s="8">
        <f t="shared" si="14"/>
        <v>0</v>
      </c>
      <c r="N92" s="8">
        <f t="shared" si="15"/>
        <v>10000</v>
      </c>
      <c r="O92" s="8">
        <f t="shared" si="16"/>
        <v>10000</v>
      </c>
      <c r="P92" s="8">
        <f t="shared" si="4"/>
        <v>24000</v>
      </c>
      <c r="Q92" s="95">
        <f>D92-J92-IF(C92=0,0,Inputs!$B$18)-P92</f>
        <v>69007.52542</v>
      </c>
      <c r="R92" s="8">
        <f>MAX(0,Q92-M92)*Inputs!$B$17</f>
        <v>15871.73085</v>
      </c>
      <c r="S92" s="8">
        <f t="shared" si="5"/>
        <v>0</v>
      </c>
      <c r="T92" s="95">
        <f t="shared" si="6"/>
        <v>1409225.715</v>
      </c>
      <c r="U92" s="8">
        <f>IF(AND(Inputs!$B$79=1,B92="OPEN",A92&gt;=Inputs!$B$82,C92&gt;=$B$10,MOD(C92-$B$10,$B$9)=0),MIN(MAX(0,T92-$B$8)*Inputs!$B$81,MAX(0,H92+J92-K92)),0)</f>
        <v>0</v>
      </c>
      <c r="V92" s="8">
        <f>IF(AND(Inputs!$B$79=1,B92="OPEN",A92&gt;=Inputs!$B$82,C92&gt;=$B$10,MOD(C92-$B$10,$B$9)=0),MIN(MAX(0,MAX(0,T92-$B$8)*Inputs!$B$81-U92),MAX(0,G92-I92)),0)</f>
        <v>0</v>
      </c>
      <c r="W92" s="8">
        <f t="shared" si="7"/>
        <v>0</v>
      </c>
      <c r="X92" s="8">
        <f t="shared" si="8"/>
        <v>0</v>
      </c>
      <c r="Y92" s="8">
        <f t="shared" si="9"/>
        <v>0</v>
      </c>
      <c r="Z92" s="95">
        <f t="shared" si="10"/>
        <v>1409225.715</v>
      </c>
    </row>
    <row r="93">
      <c r="A93" s="8">
        <f t="shared" si="11"/>
        <v>62</v>
      </c>
      <c r="B93" s="96" t="str">
        <f t="array" ref="B93">INDEX('Monthly Base'!$B$5:$B$67,A93+1)</f>
        <v>OPEN</v>
      </c>
      <c r="C93" s="96">
        <f t="array" ref="C93">INDEX('Monthly Base'!$C$5:$C$67,A93+1)</f>
        <v>60</v>
      </c>
      <c r="D93" s="95">
        <f t="array" ref="D93">INDEX('Monthly Base'!$O$5:$O$67,A93+1)</f>
        <v>100568.8983</v>
      </c>
      <c r="E93" s="95">
        <f t="array" ref="E93">INDEX('Monthly Base'!$Y$5:$Y$67,A93+1)</f>
        <v>0</v>
      </c>
      <c r="F93" s="95">
        <f t="shared" si="12"/>
        <v>1409225.715</v>
      </c>
      <c r="G93" s="8">
        <f t="shared" ref="G93:H93" si="76">W92</f>
        <v>0</v>
      </c>
      <c r="H93" s="8">
        <f t="shared" si="76"/>
        <v>0</v>
      </c>
      <c r="I93" s="8">
        <f>IF(OR(A93&lt;Inputs!$B$15,G93&lt;=0),0,MIN(Financing!$B$10,G93))</f>
        <v>0</v>
      </c>
      <c r="J93" s="8">
        <f>IF(OR(A93&lt;Inputs!$B$15,H93&lt;=0),0,H93*Inputs!$B$13/12)</f>
        <v>0</v>
      </c>
      <c r="K93" s="8">
        <f>IF(OR(A93&lt;Inputs!$B$15,H93&lt;=0),0,MIN(Financing!$C$10,H93+J93))</f>
        <v>0</v>
      </c>
      <c r="L93" s="8">
        <f t="shared" si="3"/>
        <v>0</v>
      </c>
      <c r="M93" s="8">
        <f t="shared" si="14"/>
        <v>0</v>
      </c>
      <c r="N93" s="8">
        <f t="shared" si="15"/>
        <v>10000</v>
      </c>
      <c r="O93" s="8">
        <f t="shared" si="16"/>
        <v>10000</v>
      </c>
      <c r="P93" s="8">
        <f t="shared" si="4"/>
        <v>24000</v>
      </c>
      <c r="Q93" s="95">
        <f>D93-J93-IF(C93=0,0,Inputs!$B$18)-P93</f>
        <v>69755.89831</v>
      </c>
      <c r="R93" s="8">
        <f>MAX(0,Q93-M93)*Inputs!$B$17</f>
        <v>16043.85661</v>
      </c>
      <c r="S93" s="8">
        <f t="shared" si="5"/>
        <v>0</v>
      </c>
      <c r="T93" s="95">
        <f t="shared" si="6"/>
        <v>1469750.757</v>
      </c>
      <c r="U93" s="8">
        <f>IF(AND(Inputs!$B$79=1,B93="OPEN",A93&gt;=Inputs!$B$82,C93&gt;=$B$10,MOD(C93-$B$10,$B$9)=0),MIN(MAX(0,T93-$B$8)*Inputs!$B$81,MAX(0,H93+J93-K93)),0)</f>
        <v>0</v>
      </c>
      <c r="V93" s="8">
        <f>IF(AND(Inputs!$B$79=1,B93="OPEN",A93&gt;=Inputs!$B$82,C93&gt;=$B$10,MOD(C93-$B$10,$B$9)=0),MIN(MAX(0,MAX(0,T93-$B$8)*Inputs!$B$81-U93),MAX(0,G93-I93)),0)</f>
        <v>0</v>
      </c>
      <c r="W93" s="8">
        <f t="shared" si="7"/>
        <v>0</v>
      </c>
      <c r="X93" s="8">
        <f t="shared" si="8"/>
        <v>0</v>
      </c>
      <c r="Y93" s="8">
        <f t="shared" si="9"/>
        <v>0</v>
      </c>
      <c r="Z93" s="95">
        <f t="shared" si="10"/>
        <v>1469750.757</v>
      </c>
    </row>
    <row r="100">
      <c r="A100" s="21" t="s">
        <v>304</v>
      </c>
      <c r="B100" s="21" t="s">
        <v>316</v>
      </c>
      <c r="C100" s="21" t="s">
        <v>317</v>
      </c>
      <c r="D100" s="21" t="s">
        <v>329</v>
      </c>
      <c r="E100" s="21" t="s">
        <v>474</v>
      </c>
      <c r="F100" s="21" t="s">
        <v>475</v>
      </c>
      <c r="G100" s="21" t="s">
        <v>476</v>
      </c>
      <c r="H100" s="21" t="s">
        <v>477</v>
      </c>
      <c r="I100" s="21" t="s">
        <v>478</v>
      </c>
      <c r="J100" s="21" t="s">
        <v>332</v>
      </c>
      <c r="K100" s="21" t="s">
        <v>479</v>
      </c>
      <c r="L100" s="21" t="s">
        <v>480</v>
      </c>
      <c r="M100" s="21" t="s">
        <v>335</v>
      </c>
      <c r="N100" s="21" t="s">
        <v>481</v>
      </c>
      <c r="O100" s="21" t="s">
        <v>482</v>
      </c>
      <c r="P100" s="21" t="s">
        <v>483</v>
      </c>
      <c r="Q100" s="21" t="s">
        <v>334</v>
      </c>
      <c r="R100" s="21" t="s">
        <v>484</v>
      </c>
      <c r="S100" s="21" t="s">
        <v>338</v>
      </c>
      <c r="T100" s="21" t="s">
        <v>485</v>
      </c>
      <c r="U100" s="21" t="s">
        <v>486</v>
      </c>
      <c r="V100" s="21" t="s">
        <v>487</v>
      </c>
      <c r="W100" s="21" t="s">
        <v>488</v>
      </c>
      <c r="X100" s="21" t="s">
        <v>489</v>
      </c>
      <c r="Y100" s="21" t="s">
        <v>490</v>
      </c>
      <c r="Z100" s="21" t="s">
        <v>491</v>
      </c>
    </row>
    <row r="101">
      <c r="A101" s="21">
        <v>0.0</v>
      </c>
      <c r="B101" s="96" t="str">
        <f t="array" ref="B101">INDEX('Monthly Base'!$B$5:$B$67,A101+1)</f>
        <v>BUILD</v>
      </c>
      <c r="C101" s="96">
        <f t="array" ref="C101">INDEX('Monthly Base'!$C$5:$C$67,A101+1)</f>
        <v>0</v>
      </c>
      <c r="D101" s="95">
        <f t="array" ref="D101">INDEX('Monthly Base'!$O$5:$O$67,A101+1)</f>
        <v>-20018</v>
      </c>
      <c r="E101" s="95">
        <f t="array" ref="E101">INDEX('Monthly Base'!$Y$5:$Y$67,A101+1)</f>
        <v>0</v>
      </c>
      <c r="F101" s="95">
        <f>'Startup &amp; Funding'!$B$19</f>
        <v>68990.0014</v>
      </c>
      <c r="G101" s="95">
        <f>Inputs!$B$9</f>
        <v>240000</v>
      </c>
      <c r="H101" s="95">
        <f>Inputs!$B$10</f>
        <v>900000</v>
      </c>
      <c r="I101" s="8">
        <f>IF(OR(A101&lt;Inputs!$B$15,G101&lt;=0),0,MIN(Financing!$B$10,G101))</f>
        <v>0</v>
      </c>
      <c r="J101" s="8">
        <f>IF(OR(A101&lt;Inputs!$B$15,H101&lt;=0),0,H101*Inputs!$B$13/12)</f>
        <v>0</v>
      </c>
      <c r="K101" s="8">
        <f>IF(OR(A101&lt;Inputs!$B$15,H101&lt;=0),0,MIN(Financing!$C$10,H101+J101))</f>
        <v>0</v>
      </c>
      <c r="L101" s="8">
        <f t="shared" ref="L101:L163" si="78">I101+K101</f>
        <v>0</v>
      </c>
      <c r="M101" s="21">
        <v>0.0</v>
      </c>
      <c r="N101" s="21">
        <v>0.0</v>
      </c>
      <c r="O101" s="21">
        <v>0.0</v>
      </c>
      <c r="P101" s="8">
        <f t="shared" ref="P101:P163" si="79">(N101+O101)*(1+$C$11)</f>
        <v>0</v>
      </c>
      <c r="Q101" s="95">
        <f>D101-J101-IF(C101=0,0,Inputs!$B$18)-P101</f>
        <v>-20018</v>
      </c>
      <c r="R101" s="8">
        <f>MAX(0,Q101-M101)*Inputs!$B$17</f>
        <v>0</v>
      </c>
      <c r="S101" s="8">
        <f t="shared" ref="S101:S163" si="80">MAX(0,M101-MAX(0,Q101))+MAX(0,-Q101)</f>
        <v>20018</v>
      </c>
      <c r="T101" s="95">
        <f t="shared" ref="T101:T163" si="81">F101+D101+E101-L101-P101-R101</f>
        <v>48972.0014</v>
      </c>
      <c r="U101" s="8">
        <f>IF(AND(Inputs!$B$79=1,B101="OPEN",A101&gt;=Inputs!$B$82,C101&gt;=$C$10,MOD(C101-$C$10,$C$9)=0),MIN(MAX(0,T101-$C$8)*Inputs!$B$81,MAX(0,H101+J101-K101)),0)</f>
        <v>0</v>
      </c>
      <c r="V101" s="8">
        <f>IF(AND(Inputs!$B$79=1,B101="OPEN",A101&gt;=Inputs!$B$82,C101&gt;=$C$10,MOD(C101-$C$10,$C$9)=0),MIN(MAX(0,MAX(0,T101-$C$8)*Inputs!$B$81-U101),MAX(0,G101-I101)),0)</f>
        <v>0</v>
      </c>
      <c r="W101" s="8">
        <f t="shared" ref="W101:W163" si="82">MAX(0,G101-I101-V101)</f>
        <v>240000</v>
      </c>
      <c r="X101" s="8">
        <f t="shared" ref="X101:X163" si="83">MAX(0,H101+J101-K101-U101)</f>
        <v>900000</v>
      </c>
      <c r="Y101" s="8">
        <f t="shared" ref="Y101:Y163" si="84">W101+X101</f>
        <v>1140000</v>
      </c>
      <c r="Z101" s="95">
        <f t="shared" ref="Z101:Z163" si="85">T101-U101-V101</f>
        <v>48972.0014</v>
      </c>
    </row>
    <row r="102">
      <c r="A102" s="8">
        <f t="shared" ref="A102:A163" si="86">A101+1</f>
        <v>1</v>
      </c>
      <c r="B102" s="96" t="str">
        <f t="array" ref="B102">INDEX('Monthly Base'!$B$5:$B$67,A102+1)</f>
        <v>BUILD</v>
      </c>
      <c r="C102" s="96">
        <f t="array" ref="C102">INDEX('Monthly Base'!$C$5:$C$67,A102+1)</f>
        <v>0</v>
      </c>
      <c r="D102" s="95">
        <f t="array" ref="D102">INDEX('Monthly Base'!$O$5:$O$67,A102+1)</f>
        <v>-20018</v>
      </c>
      <c r="E102" s="95">
        <f t="array" ref="E102">INDEX('Monthly Base'!$Y$5:$Y$67,A102+1)</f>
        <v>0</v>
      </c>
      <c r="F102" s="95">
        <f t="shared" ref="F102:F163" si="87">Z101</f>
        <v>48972.0014</v>
      </c>
      <c r="G102" s="8">
        <f t="shared" ref="G102:H102" si="77">W101</f>
        <v>240000</v>
      </c>
      <c r="H102" s="8">
        <f t="shared" si="77"/>
        <v>900000</v>
      </c>
      <c r="I102" s="8">
        <f>IF(OR(A102&lt;Inputs!$B$15,G102&lt;=0),0,MIN(Financing!$B$10,G102))</f>
        <v>0</v>
      </c>
      <c r="J102" s="8">
        <f>IF(OR(A102&lt;Inputs!$B$15,H102&lt;=0),0,H102*Inputs!$B$13/12)</f>
        <v>0</v>
      </c>
      <c r="K102" s="8">
        <f>IF(OR(A102&lt;Inputs!$B$15,H102&lt;=0),0,MIN(Financing!$C$10,H102+J102))</f>
        <v>0</v>
      </c>
      <c r="L102" s="8">
        <f t="shared" si="78"/>
        <v>0</v>
      </c>
      <c r="M102" s="8">
        <f t="shared" ref="M102:M163" si="89">S101</f>
        <v>20018</v>
      </c>
      <c r="N102" s="8">
        <f t="shared" ref="N102:N163" si="90">IF(B102="OPEN",IF(Y101=0,$C$7,IF(AND(C102&gt;0,C102&gt;=$C$5,$C$6&gt;0),$C$6,0)),0)</f>
        <v>0</v>
      </c>
      <c r="O102" s="8">
        <f t="shared" ref="O102:O163" si="91">IF(B102="OPEN",IF(Y101=0,$C$7,IF(AND(C102&gt;0,C102&gt;=$C$5,$C$6&gt;0),$C$6,0)),0)</f>
        <v>0</v>
      </c>
      <c r="P102" s="8">
        <f t="shared" si="79"/>
        <v>0</v>
      </c>
      <c r="Q102" s="95">
        <f>D102-J102-IF(C102=0,0,Inputs!$B$18)-P102</f>
        <v>-20018</v>
      </c>
      <c r="R102" s="8">
        <f>MAX(0,Q102-M102)*Inputs!$B$17</f>
        <v>0</v>
      </c>
      <c r="S102" s="8">
        <f t="shared" si="80"/>
        <v>40036</v>
      </c>
      <c r="T102" s="95">
        <f t="shared" si="81"/>
        <v>28954.0014</v>
      </c>
      <c r="U102" s="8">
        <f>IF(AND(Inputs!$B$79=1,B102="OPEN",A102&gt;=Inputs!$B$82,C102&gt;=$C$10,MOD(C102-$C$10,$C$9)=0),MIN(MAX(0,T102-$C$8)*Inputs!$B$81,MAX(0,H102+J102-K102)),0)</f>
        <v>0</v>
      </c>
      <c r="V102" s="8">
        <f>IF(AND(Inputs!$B$79=1,B102="OPEN",A102&gt;=Inputs!$B$82,C102&gt;=$C$10,MOD(C102-$C$10,$C$9)=0),MIN(MAX(0,MAX(0,T102-$C$8)*Inputs!$B$81-U102),MAX(0,G102-I102)),0)</f>
        <v>0</v>
      </c>
      <c r="W102" s="8">
        <f t="shared" si="82"/>
        <v>240000</v>
      </c>
      <c r="X102" s="8">
        <f t="shared" si="83"/>
        <v>900000</v>
      </c>
      <c r="Y102" s="8">
        <f t="shared" si="84"/>
        <v>1140000</v>
      </c>
      <c r="Z102" s="95">
        <f t="shared" si="85"/>
        <v>28954.0014</v>
      </c>
    </row>
    <row r="103">
      <c r="A103" s="8">
        <f t="shared" si="86"/>
        <v>2</v>
      </c>
      <c r="B103" s="96" t="str">
        <f t="array" ref="B103">INDEX('Monthly Base'!$B$5:$B$67,A103+1)</f>
        <v>BUILD</v>
      </c>
      <c r="C103" s="96">
        <f t="array" ref="C103">INDEX('Monthly Base'!$C$5:$C$67,A103+1)</f>
        <v>0</v>
      </c>
      <c r="D103" s="95">
        <f t="array" ref="D103">INDEX('Monthly Base'!$O$5:$O$67,A103+1)</f>
        <v>-20018</v>
      </c>
      <c r="E103" s="95">
        <f t="array" ref="E103">INDEX('Monthly Base'!$Y$5:$Y$67,A103+1)</f>
        <v>151933.7286</v>
      </c>
      <c r="F103" s="95">
        <f t="shared" si="87"/>
        <v>28954.0014</v>
      </c>
      <c r="G103" s="8">
        <f t="shared" ref="G103:H103" si="88">W102</f>
        <v>240000</v>
      </c>
      <c r="H103" s="8">
        <f t="shared" si="88"/>
        <v>900000</v>
      </c>
      <c r="I103" s="8">
        <f>IF(OR(A103&lt;Inputs!$B$15,G103&lt;=0),0,MIN(Financing!$B$10,G103))</f>
        <v>0</v>
      </c>
      <c r="J103" s="8">
        <f>IF(OR(A103&lt;Inputs!$B$15,H103&lt;=0),0,H103*Inputs!$B$13/12)</f>
        <v>0</v>
      </c>
      <c r="K103" s="8">
        <f>IF(OR(A103&lt;Inputs!$B$15,H103&lt;=0),0,MIN(Financing!$C$10,H103+J103))</f>
        <v>0</v>
      </c>
      <c r="L103" s="8">
        <f t="shared" si="78"/>
        <v>0</v>
      </c>
      <c r="M103" s="8">
        <f t="shared" si="89"/>
        <v>40036</v>
      </c>
      <c r="N103" s="8">
        <f t="shared" si="90"/>
        <v>0</v>
      </c>
      <c r="O103" s="8">
        <f t="shared" si="91"/>
        <v>0</v>
      </c>
      <c r="P103" s="8">
        <f t="shared" si="79"/>
        <v>0</v>
      </c>
      <c r="Q103" s="95">
        <f>D103-J103-IF(C103=0,0,Inputs!$B$18)-P103</f>
        <v>-20018</v>
      </c>
      <c r="R103" s="8">
        <f>MAX(0,Q103-M103)*Inputs!$B$17</f>
        <v>0</v>
      </c>
      <c r="S103" s="8">
        <f t="shared" si="80"/>
        <v>60054</v>
      </c>
      <c r="T103" s="95">
        <f t="shared" si="81"/>
        <v>160869.73</v>
      </c>
      <c r="U103" s="8">
        <f>IF(AND(Inputs!$B$79=1,B103="OPEN",A103&gt;=Inputs!$B$82,C103&gt;=$C$10,MOD(C103-$C$10,$C$9)=0),MIN(MAX(0,T103-$C$8)*Inputs!$B$81,MAX(0,H103+J103-K103)),0)</f>
        <v>0</v>
      </c>
      <c r="V103" s="8">
        <f>IF(AND(Inputs!$B$79=1,B103="OPEN",A103&gt;=Inputs!$B$82,C103&gt;=$C$10,MOD(C103-$C$10,$C$9)=0),MIN(MAX(0,MAX(0,T103-$C$8)*Inputs!$B$81-U103),MAX(0,G103-I103)),0)</f>
        <v>0</v>
      </c>
      <c r="W103" s="8">
        <f t="shared" si="82"/>
        <v>240000</v>
      </c>
      <c r="X103" s="8">
        <f t="shared" si="83"/>
        <v>900000</v>
      </c>
      <c r="Y103" s="8">
        <f t="shared" si="84"/>
        <v>1140000</v>
      </c>
      <c r="Z103" s="95">
        <f t="shared" si="85"/>
        <v>160869.73</v>
      </c>
    </row>
    <row r="104">
      <c r="A104" s="8">
        <f t="shared" si="86"/>
        <v>3</v>
      </c>
      <c r="B104" s="96" t="str">
        <f t="array" ref="B104">INDEX('Monthly Base'!$B$5:$B$67,A104+1)</f>
        <v>OPEN</v>
      </c>
      <c r="C104" s="96">
        <f t="array" ref="C104">INDEX('Monthly Base'!$C$5:$C$67,A104+1)</f>
        <v>1</v>
      </c>
      <c r="D104" s="95">
        <f t="array" ref="D104">INDEX('Monthly Base'!$O$5:$O$67,A104+1)</f>
        <v>-13932.15254</v>
      </c>
      <c r="E104" s="95">
        <f t="array" ref="E104">INDEX('Monthly Base'!$Y$5:$Y$67,A104+1)</f>
        <v>0</v>
      </c>
      <c r="F104" s="95">
        <f t="shared" si="87"/>
        <v>160869.73</v>
      </c>
      <c r="G104" s="8">
        <f t="shared" ref="G104:H104" si="92">W103</f>
        <v>240000</v>
      </c>
      <c r="H104" s="8">
        <f t="shared" si="92"/>
        <v>900000</v>
      </c>
      <c r="I104" s="8">
        <f>IF(OR(A104&lt;Inputs!$B$15,G104&lt;=0),0,MIN(Financing!$B$10,G104))</f>
        <v>0</v>
      </c>
      <c r="J104" s="8">
        <f>IF(OR(A104&lt;Inputs!$B$15,H104&lt;=0),0,H104*Inputs!$B$13/12)</f>
        <v>0</v>
      </c>
      <c r="K104" s="8">
        <f>IF(OR(A104&lt;Inputs!$B$15,H104&lt;=0),0,MIN(Financing!$C$10,H104+J104))</f>
        <v>0</v>
      </c>
      <c r="L104" s="8">
        <f t="shared" si="78"/>
        <v>0</v>
      </c>
      <c r="M104" s="8">
        <f t="shared" si="89"/>
        <v>60054</v>
      </c>
      <c r="N104" s="8">
        <f t="shared" si="90"/>
        <v>0</v>
      </c>
      <c r="O104" s="8">
        <f t="shared" si="91"/>
        <v>0</v>
      </c>
      <c r="P104" s="8">
        <f t="shared" si="79"/>
        <v>0</v>
      </c>
      <c r="Q104" s="95">
        <f>D104-J104-IF(C104=0,0,Inputs!$B$18)-P104</f>
        <v>-20745.15254</v>
      </c>
      <c r="R104" s="8">
        <f>MAX(0,Q104-M104)*Inputs!$B$17</f>
        <v>0</v>
      </c>
      <c r="S104" s="8">
        <f t="shared" si="80"/>
        <v>80799.15254</v>
      </c>
      <c r="T104" s="95">
        <f t="shared" si="81"/>
        <v>146937.5775</v>
      </c>
      <c r="U104" s="8">
        <f>IF(AND(Inputs!$B$79=1,B104="OPEN",A104&gt;=Inputs!$B$82,C104&gt;=$C$10,MOD(C104-$C$10,$C$9)=0),MIN(MAX(0,T104-$C$8)*Inputs!$B$81,MAX(0,H104+J104-K104)),0)</f>
        <v>0</v>
      </c>
      <c r="V104" s="8">
        <f>IF(AND(Inputs!$B$79=1,B104="OPEN",A104&gt;=Inputs!$B$82,C104&gt;=$C$10,MOD(C104-$C$10,$C$9)=0),MIN(MAX(0,MAX(0,T104-$C$8)*Inputs!$B$81-U104),MAX(0,G104-I104)),0)</f>
        <v>0</v>
      </c>
      <c r="W104" s="8">
        <f t="shared" si="82"/>
        <v>240000</v>
      </c>
      <c r="X104" s="8">
        <f t="shared" si="83"/>
        <v>900000</v>
      </c>
      <c r="Y104" s="8">
        <f t="shared" si="84"/>
        <v>1140000</v>
      </c>
      <c r="Z104" s="95">
        <f t="shared" si="85"/>
        <v>146937.5775</v>
      </c>
    </row>
    <row r="105">
      <c r="A105" s="8">
        <f t="shared" si="86"/>
        <v>4</v>
      </c>
      <c r="B105" s="96" t="str">
        <f t="array" ref="B105">INDEX('Monthly Base'!$B$5:$B$67,A105+1)</f>
        <v>OPEN</v>
      </c>
      <c r="C105" s="96">
        <f t="array" ref="C105">INDEX('Monthly Base'!$C$5:$C$67,A105+1)</f>
        <v>2</v>
      </c>
      <c r="D105" s="95">
        <f t="array" ref="D105">INDEX('Monthly Base'!$O$5:$O$67,A105+1)</f>
        <v>-10377.38136</v>
      </c>
      <c r="E105" s="95">
        <f t="array" ref="E105">INDEX('Monthly Base'!$Y$5:$Y$67,A105+1)</f>
        <v>0</v>
      </c>
      <c r="F105" s="95">
        <f t="shared" si="87"/>
        <v>146937.5775</v>
      </c>
      <c r="G105" s="8">
        <f t="shared" ref="G105:H105" si="93">W104</f>
        <v>240000</v>
      </c>
      <c r="H105" s="8">
        <f t="shared" si="93"/>
        <v>900000</v>
      </c>
      <c r="I105" s="8">
        <f>IF(OR(A105&lt;Inputs!$B$15,G105&lt;=0),0,MIN(Financing!$B$10,G105))</f>
        <v>0</v>
      </c>
      <c r="J105" s="8">
        <f>IF(OR(A105&lt;Inputs!$B$15,H105&lt;=0),0,H105*Inputs!$B$13/12)</f>
        <v>0</v>
      </c>
      <c r="K105" s="8">
        <f>IF(OR(A105&lt;Inputs!$B$15,H105&lt;=0),0,MIN(Financing!$C$10,H105+J105))</f>
        <v>0</v>
      </c>
      <c r="L105" s="8">
        <f t="shared" si="78"/>
        <v>0</v>
      </c>
      <c r="M105" s="8">
        <f t="shared" si="89"/>
        <v>80799.15254</v>
      </c>
      <c r="N105" s="8">
        <f t="shared" si="90"/>
        <v>0</v>
      </c>
      <c r="O105" s="8">
        <f t="shared" si="91"/>
        <v>0</v>
      </c>
      <c r="P105" s="8">
        <f t="shared" si="79"/>
        <v>0</v>
      </c>
      <c r="Q105" s="95">
        <f>D105-J105-IF(C105=0,0,Inputs!$B$18)-P105</f>
        <v>-17190.38136</v>
      </c>
      <c r="R105" s="8">
        <f>MAX(0,Q105-M105)*Inputs!$B$17</f>
        <v>0</v>
      </c>
      <c r="S105" s="8">
        <f t="shared" si="80"/>
        <v>97989.5339</v>
      </c>
      <c r="T105" s="95">
        <f t="shared" si="81"/>
        <v>136560.1961</v>
      </c>
      <c r="U105" s="8">
        <f>IF(AND(Inputs!$B$79=1,B105="OPEN",A105&gt;=Inputs!$B$82,C105&gt;=$C$10,MOD(C105-$C$10,$C$9)=0),MIN(MAX(0,T105-$C$8)*Inputs!$B$81,MAX(0,H105+J105-K105)),0)</f>
        <v>0</v>
      </c>
      <c r="V105" s="8">
        <f>IF(AND(Inputs!$B$79=1,B105="OPEN",A105&gt;=Inputs!$B$82,C105&gt;=$C$10,MOD(C105-$C$10,$C$9)=0),MIN(MAX(0,MAX(0,T105-$C$8)*Inputs!$B$81-U105),MAX(0,G105-I105)),0)</f>
        <v>0</v>
      </c>
      <c r="W105" s="8">
        <f t="shared" si="82"/>
        <v>240000</v>
      </c>
      <c r="X105" s="8">
        <f t="shared" si="83"/>
        <v>900000</v>
      </c>
      <c r="Y105" s="8">
        <f t="shared" si="84"/>
        <v>1140000</v>
      </c>
      <c r="Z105" s="95">
        <f t="shared" si="85"/>
        <v>136560.1961</v>
      </c>
    </row>
    <row r="106">
      <c r="A106" s="8">
        <f t="shared" si="86"/>
        <v>5</v>
      </c>
      <c r="B106" s="96" t="str">
        <f t="array" ref="B106">INDEX('Monthly Base'!$B$5:$B$67,A106+1)</f>
        <v>OPEN</v>
      </c>
      <c r="C106" s="96">
        <f t="array" ref="C106">INDEX('Monthly Base'!$C$5:$C$67,A106+1)</f>
        <v>3</v>
      </c>
      <c r="D106" s="95">
        <f t="array" ref="D106">INDEX('Monthly Base'!$O$5:$O$67,A106+1)</f>
        <v>-6635.516949</v>
      </c>
      <c r="E106" s="95">
        <f t="array" ref="E106">INDEX('Monthly Base'!$Y$5:$Y$67,A106+1)</f>
        <v>0</v>
      </c>
      <c r="F106" s="95">
        <f t="shared" si="87"/>
        <v>136560.1961</v>
      </c>
      <c r="G106" s="8">
        <f t="shared" ref="G106:H106" si="94">W105</f>
        <v>240000</v>
      </c>
      <c r="H106" s="8">
        <f t="shared" si="94"/>
        <v>900000</v>
      </c>
      <c r="I106" s="8">
        <f>IF(OR(A106&lt;Inputs!$B$15,G106&lt;=0),0,MIN(Financing!$B$10,G106))</f>
        <v>0</v>
      </c>
      <c r="J106" s="8">
        <f>IF(OR(A106&lt;Inputs!$B$15,H106&lt;=0),0,H106*Inputs!$B$13/12)</f>
        <v>0</v>
      </c>
      <c r="K106" s="8">
        <f>IF(OR(A106&lt;Inputs!$B$15,H106&lt;=0),0,MIN(Financing!$C$10,H106+J106))</f>
        <v>0</v>
      </c>
      <c r="L106" s="8">
        <f t="shared" si="78"/>
        <v>0</v>
      </c>
      <c r="M106" s="8">
        <f t="shared" si="89"/>
        <v>97989.5339</v>
      </c>
      <c r="N106" s="8">
        <f t="shared" si="90"/>
        <v>0</v>
      </c>
      <c r="O106" s="8">
        <f t="shared" si="91"/>
        <v>0</v>
      </c>
      <c r="P106" s="8">
        <f t="shared" si="79"/>
        <v>0</v>
      </c>
      <c r="Q106" s="95">
        <f>D106-J106-IF(C106=0,0,Inputs!$B$18)-P106</f>
        <v>-13448.51695</v>
      </c>
      <c r="R106" s="8">
        <f>MAX(0,Q106-M106)*Inputs!$B$17</f>
        <v>0</v>
      </c>
      <c r="S106" s="8">
        <f t="shared" si="80"/>
        <v>111438.0508</v>
      </c>
      <c r="T106" s="95">
        <f t="shared" si="81"/>
        <v>129924.6792</v>
      </c>
      <c r="U106" s="8">
        <f>IF(AND(Inputs!$B$79=1,B106="OPEN",A106&gt;=Inputs!$B$82,C106&gt;=$C$10,MOD(C106-$C$10,$C$9)=0),MIN(MAX(0,T106-$C$8)*Inputs!$B$81,MAX(0,H106+J106-K106)),0)</f>
        <v>0</v>
      </c>
      <c r="V106" s="8">
        <f>IF(AND(Inputs!$B$79=1,B106="OPEN",A106&gt;=Inputs!$B$82,C106&gt;=$C$10,MOD(C106-$C$10,$C$9)=0),MIN(MAX(0,MAX(0,T106-$C$8)*Inputs!$B$81-U106),MAX(0,G106-I106)),0)</f>
        <v>0</v>
      </c>
      <c r="W106" s="8">
        <f t="shared" si="82"/>
        <v>240000</v>
      </c>
      <c r="X106" s="8">
        <f t="shared" si="83"/>
        <v>900000</v>
      </c>
      <c r="Y106" s="8">
        <f t="shared" si="84"/>
        <v>1140000</v>
      </c>
      <c r="Z106" s="95">
        <f t="shared" si="85"/>
        <v>129924.6792</v>
      </c>
    </row>
    <row r="107">
      <c r="A107" s="8">
        <f t="shared" si="86"/>
        <v>6</v>
      </c>
      <c r="B107" s="96" t="str">
        <f t="array" ref="B107">INDEX('Monthly Base'!$B$5:$B$67,A107+1)</f>
        <v>OPEN</v>
      </c>
      <c r="C107" s="96">
        <f t="array" ref="C107">INDEX('Monthly Base'!$C$5:$C$67,A107+1)</f>
        <v>4</v>
      </c>
      <c r="D107" s="95">
        <f t="array" ref="D107">INDEX('Monthly Base'!$O$5:$O$67,A107+1)</f>
        <v>-3080.745763</v>
      </c>
      <c r="E107" s="95">
        <f t="array" ref="E107">INDEX('Monthly Base'!$Y$5:$Y$67,A107+1)</f>
        <v>0</v>
      </c>
      <c r="F107" s="95">
        <f t="shared" si="87"/>
        <v>129924.6792</v>
      </c>
      <c r="G107" s="8">
        <f t="shared" ref="G107:H107" si="95">W106</f>
        <v>240000</v>
      </c>
      <c r="H107" s="8">
        <f t="shared" si="95"/>
        <v>900000</v>
      </c>
      <c r="I107" s="8">
        <f>IF(OR(A107&lt;Inputs!$B$15,G107&lt;=0),0,MIN(Financing!$B$10,G107))</f>
        <v>0</v>
      </c>
      <c r="J107" s="8">
        <f>IF(OR(A107&lt;Inputs!$B$15,H107&lt;=0),0,H107*Inputs!$B$13/12)</f>
        <v>0</v>
      </c>
      <c r="K107" s="8">
        <f>IF(OR(A107&lt;Inputs!$B$15,H107&lt;=0),0,MIN(Financing!$C$10,H107+J107))</f>
        <v>0</v>
      </c>
      <c r="L107" s="8">
        <f t="shared" si="78"/>
        <v>0</v>
      </c>
      <c r="M107" s="8">
        <f t="shared" si="89"/>
        <v>111438.0508</v>
      </c>
      <c r="N107" s="8">
        <f t="shared" si="90"/>
        <v>0</v>
      </c>
      <c r="O107" s="8">
        <f t="shared" si="91"/>
        <v>0</v>
      </c>
      <c r="P107" s="8">
        <f t="shared" si="79"/>
        <v>0</v>
      </c>
      <c r="Q107" s="95">
        <f>D107-J107-IF(C107=0,0,Inputs!$B$18)-P107</f>
        <v>-9893.745763</v>
      </c>
      <c r="R107" s="8">
        <f>MAX(0,Q107-M107)*Inputs!$B$17</f>
        <v>0</v>
      </c>
      <c r="S107" s="8">
        <f t="shared" si="80"/>
        <v>121331.7966</v>
      </c>
      <c r="T107" s="95">
        <f t="shared" si="81"/>
        <v>126843.9334</v>
      </c>
      <c r="U107" s="8">
        <f>IF(AND(Inputs!$B$79=1,B107="OPEN",A107&gt;=Inputs!$B$82,C107&gt;=$C$10,MOD(C107-$C$10,$C$9)=0),MIN(MAX(0,T107-$C$8)*Inputs!$B$81,MAX(0,H107+J107-K107)),0)</f>
        <v>0</v>
      </c>
      <c r="V107" s="8">
        <f>IF(AND(Inputs!$B$79=1,B107="OPEN",A107&gt;=Inputs!$B$82,C107&gt;=$C$10,MOD(C107-$C$10,$C$9)=0),MIN(MAX(0,MAX(0,T107-$C$8)*Inputs!$B$81-U107),MAX(0,G107-I107)),0)</f>
        <v>0</v>
      </c>
      <c r="W107" s="8">
        <f t="shared" si="82"/>
        <v>240000</v>
      </c>
      <c r="X107" s="8">
        <f t="shared" si="83"/>
        <v>900000</v>
      </c>
      <c r="Y107" s="8">
        <f t="shared" si="84"/>
        <v>1140000</v>
      </c>
      <c r="Z107" s="95">
        <f t="shared" si="85"/>
        <v>126843.9334</v>
      </c>
    </row>
    <row r="108">
      <c r="A108" s="8">
        <f t="shared" si="86"/>
        <v>7</v>
      </c>
      <c r="B108" s="96" t="str">
        <f t="array" ref="B108">INDEX('Monthly Base'!$B$5:$B$67,A108+1)</f>
        <v>OPEN</v>
      </c>
      <c r="C108" s="96">
        <f t="array" ref="C108">INDEX('Monthly Base'!$C$5:$C$67,A108+1)</f>
        <v>5</v>
      </c>
      <c r="D108" s="95">
        <f t="array" ref="D108">INDEX('Monthly Base'!$O$5:$O$67,A108+1)</f>
        <v>474.0254237</v>
      </c>
      <c r="E108" s="95">
        <f t="array" ref="E108">INDEX('Monthly Base'!$Y$5:$Y$67,A108+1)</f>
        <v>0</v>
      </c>
      <c r="F108" s="95">
        <f t="shared" si="87"/>
        <v>126843.9334</v>
      </c>
      <c r="G108" s="8">
        <f t="shared" ref="G108:H108" si="96">W107</f>
        <v>240000</v>
      </c>
      <c r="H108" s="8">
        <f t="shared" si="96"/>
        <v>900000</v>
      </c>
      <c r="I108" s="8">
        <f>IF(OR(A108&lt;Inputs!$B$15,G108&lt;=0),0,MIN(Financing!$B$10,G108))</f>
        <v>0</v>
      </c>
      <c r="J108" s="8">
        <f>IF(OR(A108&lt;Inputs!$B$15,H108&lt;=0),0,H108*Inputs!$B$13/12)</f>
        <v>0</v>
      </c>
      <c r="K108" s="8">
        <f>IF(OR(A108&lt;Inputs!$B$15,H108&lt;=0),0,MIN(Financing!$C$10,H108+J108))</f>
        <v>0</v>
      </c>
      <c r="L108" s="8">
        <f t="shared" si="78"/>
        <v>0</v>
      </c>
      <c r="M108" s="8">
        <f t="shared" si="89"/>
        <v>121331.7966</v>
      </c>
      <c r="N108" s="8">
        <f t="shared" si="90"/>
        <v>0</v>
      </c>
      <c r="O108" s="8">
        <f t="shared" si="91"/>
        <v>0</v>
      </c>
      <c r="P108" s="8">
        <f t="shared" si="79"/>
        <v>0</v>
      </c>
      <c r="Q108" s="95">
        <f>D108-J108-IF(C108=0,0,Inputs!$B$18)-P108</f>
        <v>-6338.974576</v>
      </c>
      <c r="R108" s="8">
        <f>MAX(0,Q108-M108)*Inputs!$B$17</f>
        <v>0</v>
      </c>
      <c r="S108" s="8">
        <f t="shared" si="80"/>
        <v>127670.7712</v>
      </c>
      <c r="T108" s="95">
        <f t="shared" si="81"/>
        <v>127317.9588</v>
      </c>
      <c r="U108" s="8">
        <f>IF(AND(Inputs!$B$79=1,B108="OPEN",A108&gt;=Inputs!$B$82,C108&gt;=$C$10,MOD(C108-$C$10,$C$9)=0),MIN(MAX(0,T108-$C$8)*Inputs!$B$81,MAX(0,H108+J108-K108)),0)</f>
        <v>0</v>
      </c>
      <c r="V108" s="8">
        <f>IF(AND(Inputs!$B$79=1,B108="OPEN",A108&gt;=Inputs!$B$82,C108&gt;=$C$10,MOD(C108-$C$10,$C$9)=0),MIN(MAX(0,MAX(0,T108-$C$8)*Inputs!$B$81-U108),MAX(0,G108-I108)),0)</f>
        <v>0</v>
      </c>
      <c r="W108" s="8">
        <f t="shared" si="82"/>
        <v>240000</v>
      </c>
      <c r="X108" s="8">
        <f t="shared" si="83"/>
        <v>900000</v>
      </c>
      <c r="Y108" s="8">
        <f t="shared" si="84"/>
        <v>1140000</v>
      </c>
      <c r="Z108" s="95">
        <f t="shared" si="85"/>
        <v>127317.9588</v>
      </c>
    </row>
    <row r="109">
      <c r="A109" s="8">
        <f t="shared" si="86"/>
        <v>8</v>
      </c>
      <c r="B109" s="96" t="str">
        <f t="array" ref="B109">INDEX('Monthly Base'!$B$5:$B$67,A109+1)</f>
        <v>OPEN</v>
      </c>
      <c r="C109" s="96">
        <f t="array" ref="C109">INDEX('Monthly Base'!$C$5:$C$67,A109+1)</f>
        <v>6</v>
      </c>
      <c r="D109" s="95">
        <f t="array" ref="D109">INDEX('Monthly Base'!$O$5:$O$67,A109+1)</f>
        <v>4028.79661</v>
      </c>
      <c r="E109" s="95">
        <f t="array" ref="E109">INDEX('Monthly Base'!$Y$5:$Y$67,A109+1)</f>
        <v>0</v>
      </c>
      <c r="F109" s="95">
        <f t="shared" si="87"/>
        <v>127317.9588</v>
      </c>
      <c r="G109" s="8">
        <f t="shared" ref="G109:H109" si="97">W108</f>
        <v>240000</v>
      </c>
      <c r="H109" s="8">
        <f t="shared" si="97"/>
        <v>900000</v>
      </c>
      <c r="I109" s="8">
        <f>IF(OR(A109&lt;Inputs!$B$15,G109&lt;=0),0,MIN(Financing!$B$10,G109))</f>
        <v>0</v>
      </c>
      <c r="J109" s="8">
        <f>IF(OR(A109&lt;Inputs!$B$15,H109&lt;=0),0,H109*Inputs!$B$13/12)</f>
        <v>0</v>
      </c>
      <c r="K109" s="8">
        <f>IF(OR(A109&lt;Inputs!$B$15,H109&lt;=0),0,MIN(Financing!$C$10,H109+J109))</f>
        <v>0</v>
      </c>
      <c r="L109" s="8">
        <f t="shared" si="78"/>
        <v>0</v>
      </c>
      <c r="M109" s="8">
        <f t="shared" si="89"/>
        <v>127670.7712</v>
      </c>
      <c r="N109" s="8">
        <f t="shared" si="90"/>
        <v>0</v>
      </c>
      <c r="O109" s="8">
        <f t="shared" si="91"/>
        <v>0</v>
      </c>
      <c r="P109" s="8">
        <f t="shared" si="79"/>
        <v>0</v>
      </c>
      <c r="Q109" s="95">
        <f>D109-J109-IF(C109=0,0,Inputs!$B$18)-P109</f>
        <v>-2784.20339</v>
      </c>
      <c r="R109" s="8">
        <f>MAX(0,Q109-M109)*Inputs!$B$17</f>
        <v>0</v>
      </c>
      <c r="S109" s="8">
        <f t="shared" si="80"/>
        <v>130454.9746</v>
      </c>
      <c r="T109" s="95">
        <f t="shared" si="81"/>
        <v>131346.7554</v>
      </c>
      <c r="U109" s="8">
        <f>IF(AND(Inputs!$B$79=1,B109="OPEN",A109&gt;=Inputs!$B$82,C109&gt;=$C$10,MOD(C109-$C$10,$C$9)=0),MIN(MAX(0,T109-$C$8)*Inputs!$B$81,MAX(0,H109+J109-K109)),0)</f>
        <v>0</v>
      </c>
      <c r="V109" s="8">
        <f>IF(AND(Inputs!$B$79=1,B109="OPEN",A109&gt;=Inputs!$B$82,C109&gt;=$C$10,MOD(C109-$C$10,$C$9)=0),MIN(MAX(0,MAX(0,T109-$C$8)*Inputs!$B$81-U109),MAX(0,G109-I109)),0)</f>
        <v>0</v>
      </c>
      <c r="W109" s="8">
        <f t="shared" si="82"/>
        <v>240000</v>
      </c>
      <c r="X109" s="8">
        <f t="shared" si="83"/>
        <v>900000</v>
      </c>
      <c r="Y109" s="8">
        <f t="shared" si="84"/>
        <v>1140000</v>
      </c>
      <c r="Z109" s="95">
        <f t="shared" si="85"/>
        <v>131346.7554</v>
      </c>
    </row>
    <row r="110">
      <c r="A110" s="8">
        <f t="shared" si="86"/>
        <v>9</v>
      </c>
      <c r="B110" s="96" t="str">
        <f t="array" ref="B110">INDEX('Monthly Base'!$B$5:$B$67,A110+1)</f>
        <v>OPEN</v>
      </c>
      <c r="C110" s="96">
        <f t="array" ref="C110">INDEX('Monthly Base'!$C$5:$C$67,A110+1)</f>
        <v>7</v>
      </c>
      <c r="D110" s="95">
        <f t="array" ref="D110">INDEX('Monthly Base'!$O$5:$O$67,A110+1)</f>
        <v>7770.661017</v>
      </c>
      <c r="E110" s="95">
        <f t="array" ref="E110">INDEX('Monthly Base'!$Y$5:$Y$67,A110+1)</f>
        <v>0</v>
      </c>
      <c r="F110" s="95">
        <f t="shared" si="87"/>
        <v>131346.7554</v>
      </c>
      <c r="G110" s="8">
        <f t="shared" ref="G110:H110" si="98">W109</f>
        <v>240000</v>
      </c>
      <c r="H110" s="8">
        <f t="shared" si="98"/>
        <v>900000</v>
      </c>
      <c r="I110" s="8">
        <f>IF(OR(A110&lt;Inputs!$B$15,G110&lt;=0),0,MIN(Financing!$B$10,G110))</f>
        <v>0</v>
      </c>
      <c r="J110" s="8">
        <f>IF(OR(A110&lt;Inputs!$B$15,H110&lt;=0),0,H110*Inputs!$B$13/12)</f>
        <v>0</v>
      </c>
      <c r="K110" s="8">
        <f>IF(OR(A110&lt;Inputs!$B$15,H110&lt;=0),0,MIN(Financing!$C$10,H110+J110))</f>
        <v>0</v>
      </c>
      <c r="L110" s="8">
        <f t="shared" si="78"/>
        <v>0</v>
      </c>
      <c r="M110" s="8">
        <f t="shared" si="89"/>
        <v>130454.9746</v>
      </c>
      <c r="N110" s="8">
        <f t="shared" si="90"/>
        <v>0</v>
      </c>
      <c r="O110" s="8">
        <f t="shared" si="91"/>
        <v>0</v>
      </c>
      <c r="P110" s="8">
        <f t="shared" si="79"/>
        <v>0</v>
      </c>
      <c r="Q110" s="95">
        <f>D110-J110-IF(C110=0,0,Inputs!$B$18)-P110</f>
        <v>957.6610169</v>
      </c>
      <c r="R110" s="8">
        <f>MAX(0,Q110-M110)*Inputs!$B$17</f>
        <v>0</v>
      </c>
      <c r="S110" s="8">
        <f t="shared" si="80"/>
        <v>129497.3136</v>
      </c>
      <c r="T110" s="95">
        <f t="shared" si="81"/>
        <v>139117.4164</v>
      </c>
      <c r="U110" s="8">
        <f>IF(AND(Inputs!$B$79=1,B110="OPEN",A110&gt;=Inputs!$B$82,C110&gt;=$C$10,MOD(C110-$C$10,$C$9)=0),MIN(MAX(0,T110-$C$8)*Inputs!$B$81,MAX(0,H110+J110-K110)),0)</f>
        <v>0</v>
      </c>
      <c r="V110" s="8">
        <f>IF(AND(Inputs!$B$79=1,B110="OPEN",A110&gt;=Inputs!$B$82,C110&gt;=$C$10,MOD(C110-$C$10,$C$9)=0),MIN(MAX(0,MAX(0,T110-$C$8)*Inputs!$B$81-U110),MAX(0,G110-I110)),0)</f>
        <v>0</v>
      </c>
      <c r="W110" s="8">
        <f t="shared" si="82"/>
        <v>240000</v>
      </c>
      <c r="X110" s="8">
        <f t="shared" si="83"/>
        <v>900000</v>
      </c>
      <c r="Y110" s="8">
        <f t="shared" si="84"/>
        <v>1140000</v>
      </c>
      <c r="Z110" s="95">
        <f t="shared" si="85"/>
        <v>139117.4164</v>
      </c>
    </row>
    <row r="111">
      <c r="A111" s="8">
        <f t="shared" si="86"/>
        <v>10</v>
      </c>
      <c r="B111" s="96" t="str">
        <f t="array" ref="B111">INDEX('Monthly Base'!$B$5:$B$67,A111+1)</f>
        <v>OPEN</v>
      </c>
      <c r="C111" s="96">
        <f t="array" ref="C111">INDEX('Monthly Base'!$C$5:$C$67,A111+1)</f>
        <v>8</v>
      </c>
      <c r="D111" s="95">
        <f t="array" ref="D111">INDEX('Monthly Base'!$O$5:$O$67,A111+1)</f>
        <v>11325.4322</v>
      </c>
      <c r="E111" s="95">
        <f t="array" ref="E111">INDEX('Monthly Base'!$Y$5:$Y$67,A111+1)</f>
        <v>0</v>
      </c>
      <c r="F111" s="95">
        <f t="shared" si="87"/>
        <v>139117.4164</v>
      </c>
      <c r="G111" s="8">
        <f t="shared" ref="G111:H111" si="99">W110</f>
        <v>240000</v>
      </c>
      <c r="H111" s="8">
        <f t="shared" si="99"/>
        <v>900000</v>
      </c>
      <c r="I111" s="8">
        <f>IF(OR(A111&lt;Inputs!$B$15,G111&lt;=0),0,MIN(Financing!$B$10,G111))</f>
        <v>0</v>
      </c>
      <c r="J111" s="8">
        <f>IF(OR(A111&lt;Inputs!$B$15,H111&lt;=0),0,H111*Inputs!$B$13/12)</f>
        <v>0</v>
      </c>
      <c r="K111" s="8">
        <f>IF(OR(A111&lt;Inputs!$B$15,H111&lt;=0),0,MIN(Financing!$C$10,H111+J111))</f>
        <v>0</v>
      </c>
      <c r="L111" s="8">
        <f t="shared" si="78"/>
        <v>0</v>
      </c>
      <c r="M111" s="8">
        <f t="shared" si="89"/>
        <v>129497.3136</v>
      </c>
      <c r="N111" s="8">
        <f t="shared" si="90"/>
        <v>0</v>
      </c>
      <c r="O111" s="8">
        <f t="shared" si="91"/>
        <v>0</v>
      </c>
      <c r="P111" s="8">
        <f t="shared" si="79"/>
        <v>0</v>
      </c>
      <c r="Q111" s="95">
        <f>D111-J111-IF(C111=0,0,Inputs!$B$18)-P111</f>
        <v>4512.432203</v>
      </c>
      <c r="R111" s="8">
        <f>MAX(0,Q111-M111)*Inputs!$B$17</f>
        <v>0</v>
      </c>
      <c r="S111" s="8">
        <f t="shared" si="80"/>
        <v>124984.8814</v>
      </c>
      <c r="T111" s="95">
        <f t="shared" si="81"/>
        <v>150442.8486</v>
      </c>
      <c r="U111" s="8">
        <f>IF(AND(Inputs!$B$79=1,B111="OPEN",A111&gt;=Inputs!$B$82,C111&gt;=$C$10,MOD(C111-$C$10,$C$9)=0),MIN(MAX(0,T111-$C$8)*Inputs!$B$81,MAX(0,H111+J111-K111)),0)</f>
        <v>0</v>
      </c>
      <c r="V111" s="8">
        <f>IF(AND(Inputs!$B$79=1,B111="OPEN",A111&gt;=Inputs!$B$82,C111&gt;=$C$10,MOD(C111-$C$10,$C$9)=0),MIN(MAX(0,MAX(0,T111-$C$8)*Inputs!$B$81-U111),MAX(0,G111-I111)),0)</f>
        <v>0</v>
      </c>
      <c r="W111" s="8">
        <f t="shared" si="82"/>
        <v>240000</v>
      </c>
      <c r="X111" s="8">
        <f t="shared" si="83"/>
        <v>900000</v>
      </c>
      <c r="Y111" s="8">
        <f t="shared" si="84"/>
        <v>1140000</v>
      </c>
      <c r="Z111" s="95">
        <f t="shared" si="85"/>
        <v>150442.8486</v>
      </c>
    </row>
    <row r="112">
      <c r="A112" s="8">
        <f t="shared" si="86"/>
        <v>11</v>
      </c>
      <c r="B112" s="96" t="str">
        <f t="array" ref="B112">INDEX('Monthly Base'!$B$5:$B$67,A112+1)</f>
        <v>OPEN</v>
      </c>
      <c r="C112" s="96">
        <f t="array" ref="C112">INDEX('Monthly Base'!$C$5:$C$67,A112+1)</f>
        <v>9</v>
      </c>
      <c r="D112" s="95">
        <f t="array" ref="D112">INDEX('Monthly Base'!$O$5:$O$67,A112+1)</f>
        <v>14880.20339</v>
      </c>
      <c r="E112" s="95">
        <f t="array" ref="E112">INDEX('Monthly Base'!$Y$5:$Y$67,A112+1)</f>
        <v>0</v>
      </c>
      <c r="F112" s="95">
        <f t="shared" si="87"/>
        <v>150442.8486</v>
      </c>
      <c r="G112" s="8">
        <f t="shared" ref="G112:H112" si="100">W111</f>
        <v>240000</v>
      </c>
      <c r="H112" s="8">
        <f t="shared" si="100"/>
        <v>900000</v>
      </c>
      <c r="I112" s="8">
        <f>IF(OR(A112&lt;Inputs!$B$15,G112&lt;=0),0,MIN(Financing!$B$10,G112))</f>
        <v>0</v>
      </c>
      <c r="J112" s="8">
        <f>IF(OR(A112&lt;Inputs!$B$15,H112&lt;=0),0,H112*Inputs!$B$13/12)</f>
        <v>0</v>
      </c>
      <c r="K112" s="8">
        <f>IF(OR(A112&lt;Inputs!$B$15,H112&lt;=0),0,MIN(Financing!$C$10,H112+J112))</f>
        <v>0</v>
      </c>
      <c r="L112" s="8">
        <f t="shared" si="78"/>
        <v>0</v>
      </c>
      <c r="M112" s="8">
        <f t="shared" si="89"/>
        <v>124984.8814</v>
      </c>
      <c r="N112" s="8">
        <f t="shared" si="90"/>
        <v>0</v>
      </c>
      <c r="O112" s="8">
        <f t="shared" si="91"/>
        <v>0</v>
      </c>
      <c r="P112" s="8">
        <f t="shared" si="79"/>
        <v>0</v>
      </c>
      <c r="Q112" s="95">
        <f>D112-J112-IF(C112=0,0,Inputs!$B$18)-P112</f>
        <v>8067.20339</v>
      </c>
      <c r="R112" s="8">
        <f>MAX(0,Q112-M112)*Inputs!$B$17</f>
        <v>0</v>
      </c>
      <c r="S112" s="8">
        <f t="shared" si="80"/>
        <v>116917.678</v>
      </c>
      <c r="T112" s="95">
        <f t="shared" si="81"/>
        <v>165323.052</v>
      </c>
      <c r="U112" s="8">
        <f>IF(AND(Inputs!$B$79=1,B112="OPEN",A112&gt;=Inputs!$B$82,C112&gt;=$C$10,MOD(C112-$C$10,$C$9)=0),MIN(MAX(0,T112-$C$8)*Inputs!$B$81,MAX(0,H112+J112-K112)),0)</f>
        <v>0</v>
      </c>
      <c r="V112" s="8">
        <f>IF(AND(Inputs!$B$79=1,B112="OPEN",A112&gt;=Inputs!$B$82,C112&gt;=$C$10,MOD(C112-$C$10,$C$9)=0),MIN(MAX(0,MAX(0,T112-$C$8)*Inputs!$B$81-U112),MAX(0,G112-I112)),0)</f>
        <v>0</v>
      </c>
      <c r="W112" s="8">
        <f t="shared" si="82"/>
        <v>240000</v>
      </c>
      <c r="X112" s="8">
        <f t="shared" si="83"/>
        <v>900000</v>
      </c>
      <c r="Y112" s="8">
        <f t="shared" si="84"/>
        <v>1140000</v>
      </c>
      <c r="Z112" s="95">
        <f t="shared" si="85"/>
        <v>165323.052</v>
      </c>
    </row>
    <row r="113">
      <c r="A113" s="8">
        <f t="shared" si="86"/>
        <v>12</v>
      </c>
      <c r="B113" s="96" t="str">
        <f t="array" ref="B113">INDEX('Monthly Base'!$B$5:$B$67,A113+1)</f>
        <v>OPEN</v>
      </c>
      <c r="C113" s="96">
        <f t="array" ref="C113">INDEX('Monthly Base'!$C$5:$C$67,A113+1)</f>
        <v>10</v>
      </c>
      <c r="D113" s="95">
        <f t="array" ref="D113">INDEX('Monthly Base'!$O$5:$O$67,A113+1)</f>
        <v>18434.97458</v>
      </c>
      <c r="E113" s="95">
        <f t="array" ref="E113">INDEX('Monthly Base'!$Y$5:$Y$67,A113+1)</f>
        <v>0</v>
      </c>
      <c r="F113" s="95">
        <f t="shared" si="87"/>
        <v>165323.052</v>
      </c>
      <c r="G113" s="8">
        <f t="shared" ref="G113:H113" si="101">W112</f>
        <v>240000</v>
      </c>
      <c r="H113" s="8">
        <f t="shared" si="101"/>
        <v>900000</v>
      </c>
      <c r="I113" s="95">
        <f>IF(OR(A113&lt;Inputs!$B$15,G113&lt;=0),0,MIN(Financing!$B$10,G113))</f>
        <v>4000</v>
      </c>
      <c r="J113" s="8">
        <f>IF(OR(A113&lt;Inputs!$B$15,H113&lt;=0),0,H113*Inputs!$B$13/12)</f>
        <v>3562.5</v>
      </c>
      <c r="K113" s="95">
        <f>IF(OR(A113&lt;Inputs!$B$15,H113&lt;=0),0,MIN(Financing!$C$10,H113+J113))</f>
        <v>16881.22078</v>
      </c>
      <c r="L113" s="95">
        <f t="shared" si="78"/>
        <v>20881.22078</v>
      </c>
      <c r="M113" s="8">
        <f t="shared" si="89"/>
        <v>116917.678</v>
      </c>
      <c r="N113" s="8">
        <f t="shared" si="90"/>
        <v>0</v>
      </c>
      <c r="O113" s="8">
        <f t="shared" si="91"/>
        <v>0</v>
      </c>
      <c r="P113" s="8">
        <f t="shared" si="79"/>
        <v>0</v>
      </c>
      <c r="Q113" s="95">
        <f>D113-J113-IF(C113=0,0,Inputs!$B$18)-P113</f>
        <v>8059.474576</v>
      </c>
      <c r="R113" s="8">
        <f>MAX(0,Q113-M113)*Inputs!$B$17</f>
        <v>0</v>
      </c>
      <c r="S113" s="8">
        <f t="shared" si="80"/>
        <v>108858.2034</v>
      </c>
      <c r="T113" s="95">
        <f t="shared" si="81"/>
        <v>162876.8058</v>
      </c>
      <c r="U113" s="8">
        <f>IF(AND(Inputs!$B$79=1,B113="OPEN",A113&gt;=Inputs!$B$82,C113&gt;=$C$10,MOD(C113-$C$10,$C$9)=0),MIN(MAX(0,T113-$C$8)*Inputs!$B$81,MAX(0,H113+J113-K113)),0)</f>
        <v>0</v>
      </c>
      <c r="V113" s="8">
        <f>IF(AND(Inputs!$B$79=1,B113="OPEN",A113&gt;=Inputs!$B$82,C113&gt;=$C$10,MOD(C113-$C$10,$C$9)=0),MIN(MAX(0,MAX(0,T113-$C$8)*Inputs!$B$81-U113),MAX(0,G113-I113)),0)</f>
        <v>0</v>
      </c>
      <c r="W113" s="8">
        <f t="shared" si="82"/>
        <v>236000</v>
      </c>
      <c r="X113" s="8">
        <f t="shared" si="83"/>
        <v>886681.2792</v>
      </c>
      <c r="Y113" s="8">
        <f t="shared" si="84"/>
        <v>1122681.279</v>
      </c>
      <c r="Z113" s="95">
        <f t="shared" si="85"/>
        <v>162876.8058</v>
      </c>
    </row>
    <row r="114">
      <c r="A114" s="8">
        <f t="shared" si="86"/>
        <v>13</v>
      </c>
      <c r="B114" s="96" t="str">
        <f t="array" ref="B114">INDEX('Monthly Base'!$B$5:$B$67,A114+1)</f>
        <v>OPEN</v>
      </c>
      <c r="C114" s="96">
        <f t="array" ref="C114">INDEX('Monthly Base'!$C$5:$C$67,A114+1)</f>
        <v>11</v>
      </c>
      <c r="D114" s="95">
        <f t="array" ref="D114">INDEX('Monthly Base'!$O$5:$O$67,A114+1)</f>
        <v>22176.83898</v>
      </c>
      <c r="E114" s="95">
        <f t="array" ref="E114">INDEX('Monthly Base'!$Y$5:$Y$67,A114+1)</f>
        <v>0</v>
      </c>
      <c r="F114" s="95">
        <f t="shared" si="87"/>
        <v>162876.8058</v>
      </c>
      <c r="G114" s="8">
        <f t="shared" ref="G114:H114" si="102">W113</f>
        <v>236000</v>
      </c>
      <c r="H114" s="8">
        <f t="shared" si="102"/>
        <v>886681.2792</v>
      </c>
      <c r="I114" s="95">
        <f>IF(OR(A114&lt;Inputs!$B$15,G114&lt;=0),0,MIN(Financing!$B$10,G114))</f>
        <v>4000</v>
      </c>
      <c r="J114" s="8">
        <f>IF(OR(A114&lt;Inputs!$B$15,H114&lt;=0),0,H114*Inputs!$B$13/12)</f>
        <v>3509.780064</v>
      </c>
      <c r="K114" s="95">
        <f>IF(OR(A114&lt;Inputs!$B$15,H114&lt;=0),0,MIN(Financing!$C$10,H114+J114))</f>
        <v>16881.22078</v>
      </c>
      <c r="L114" s="95">
        <f t="shared" si="78"/>
        <v>20881.22078</v>
      </c>
      <c r="M114" s="8">
        <f t="shared" si="89"/>
        <v>108858.2034</v>
      </c>
      <c r="N114" s="8">
        <f t="shared" si="90"/>
        <v>0</v>
      </c>
      <c r="O114" s="8">
        <f t="shared" si="91"/>
        <v>0</v>
      </c>
      <c r="P114" s="8">
        <f t="shared" si="79"/>
        <v>0</v>
      </c>
      <c r="Q114" s="95">
        <f>D114-J114-IF(C114=0,0,Inputs!$B$18)-P114</f>
        <v>11854.05892</v>
      </c>
      <c r="R114" s="8">
        <f>MAX(0,Q114-M114)*Inputs!$B$17</f>
        <v>0</v>
      </c>
      <c r="S114" s="8">
        <f t="shared" si="80"/>
        <v>97004.14447</v>
      </c>
      <c r="T114" s="95">
        <f t="shared" si="81"/>
        <v>164172.424</v>
      </c>
      <c r="U114" s="8">
        <f>IF(AND(Inputs!$B$79=1,B114="OPEN",A114&gt;=Inputs!$B$82,C114&gt;=$C$10,MOD(C114-$C$10,$C$9)=0),MIN(MAX(0,T114-$C$8)*Inputs!$B$81,MAX(0,H114+J114-K114)),0)</f>
        <v>0</v>
      </c>
      <c r="V114" s="8">
        <f>IF(AND(Inputs!$B$79=1,B114="OPEN",A114&gt;=Inputs!$B$82,C114&gt;=$C$10,MOD(C114-$C$10,$C$9)=0),MIN(MAX(0,MAX(0,T114-$C$8)*Inputs!$B$81-U114),MAX(0,G114-I114)),0)</f>
        <v>0</v>
      </c>
      <c r="W114" s="8">
        <f t="shared" si="82"/>
        <v>232000</v>
      </c>
      <c r="X114" s="8">
        <f t="shared" si="83"/>
        <v>873309.8385</v>
      </c>
      <c r="Y114" s="8">
        <f t="shared" si="84"/>
        <v>1105309.839</v>
      </c>
      <c r="Z114" s="95">
        <f t="shared" si="85"/>
        <v>164172.424</v>
      </c>
    </row>
    <row r="115">
      <c r="A115" s="8">
        <f t="shared" si="86"/>
        <v>14</v>
      </c>
      <c r="B115" s="96" t="str">
        <f t="array" ref="B115">INDEX('Monthly Base'!$B$5:$B$67,A115+1)</f>
        <v>OPEN</v>
      </c>
      <c r="C115" s="96">
        <f t="array" ref="C115">INDEX('Monthly Base'!$C$5:$C$67,A115+1)</f>
        <v>12</v>
      </c>
      <c r="D115" s="95">
        <f t="array" ref="D115">INDEX('Monthly Base'!$O$5:$O$67,A115+1)</f>
        <v>25731.61017</v>
      </c>
      <c r="E115" s="95">
        <f t="array" ref="E115">INDEX('Monthly Base'!$Y$5:$Y$67,A115+1)</f>
        <v>0</v>
      </c>
      <c r="F115" s="95">
        <f t="shared" si="87"/>
        <v>164172.424</v>
      </c>
      <c r="G115" s="8">
        <f t="shared" ref="G115:H115" si="103">W114</f>
        <v>232000</v>
      </c>
      <c r="H115" s="8">
        <f t="shared" si="103"/>
        <v>873309.8385</v>
      </c>
      <c r="I115" s="95">
        <f>IF(OR(A115&lt;Inputs!$B$15,G115&lt;=0),0,MIN(Financing!$B$10,G115))</f>
        <v>4000</v>
      </c>
      <c r="J115" s="8">
        <f>IF(OR(A115&lt;Inputs!$B$15,H115&lt;=0),0,H115*Inputs!$B$13/12)</f>
        <v>3456.851444</v>
      </c>
      <c r="K115" s="95">
        <f>IF(OR(A115&lt;Inputs!$B$15,H115&lt;=0),0,MIN(Financing!$C$10,H115+J115))</f>
        <v>16881.22078</v>
      </c>
      <c r="L115" s="95">
        <f t="shared" si="78"/>
        <v>20881.22078</v>
      </c>
      <c r="M115" s="8">
        <f t="shared" si="89"/>
        <v>97004.14447</v>
      </c>
      <c r="N115" s="8">
        <f t="shared" si="90"/>
        <v>0</v>
      </c>
      <c r="O115" s="8">
        <f t="shared" si="91"/>
        <v>0</v>
      </c>
      <c r="P115" s="8">
        <f t="shared" si="79"/>
        <v>0</v>
      </c>
      <c r="Q115" s="95">
        <f>D115-J115-IF(C115=0,0,Inputs!$B$18)-P115</f>
        <v>15461.75873</v>
      </c>
      <c r="R115" s="8">
        <f>MAX(0,Q115-M115)*Inputs!$B$17</f>
        <v>0</v>
      </c>
      <c r="S115" s="8">
        <f t="shared" si="80"/>
        <v>81542.38574</v>
      </c>
      <c r="T115" s="95">
        <f t="shared" si="81"/>
        <v>169022.8134</v>
      </c>
      <c r="U115" s="8">
        <f>IF(AND(Inputs!$B$79=1,B115="OPEN",A115&gt;=Inputs!$B$82,C115&gt;=$C$10,MOD(C115-$C$10,$C$9)=0),MIN(MAX(0,T115-$C$8)*Inputs!$B$81,MAX(0,H115+J115-K115)),0)</f>
        <v>19022.81342</v>
      </c>
      <c r="V115" s="8">
        <f>IF(AND(Inputs!$B$79=1,B115="OPEN",A115&gt;=Inputs!$B$82,C115&gt;=$C$10,MOD(C115-$C$10,$C$9)=0),MIN(MAX(0,MAX(0,T115-$C$8)*Inputs!$B$81-U115),MAX(0,G115-I115)),0)</f>
        <v>0</v>
      </c>
      <c r="W115" s="8">
        <f t="shared" si="82"/>
        <v>228000</v>
      </c>
      <c r="X115" s="8">
        <f t="shared" si="83"/>
        <v>840862.6557</v>
      </c>
      <c r="Y115" s="8">
        <f t="shared" si="84"/>
        <v>1068862.656</v>
      </c>
      <c r="Z115" s="95">
        <f t="shared" si="85"/>
        <v>150000</v>
      </c>
    </row>
    <row r="116">
      <c r="A116" s="8">
        <f t="shared" si="86"/>
        <v>15</v>
      </c>
      <c r="B116" s="96" t="str">
        <f t="array" ref="B116">INDEX('Monthly Base'!$B$5:$B$67,A116+1)</f>
        <v>OPEN</v>
      </c>
      <c r="C116" s="96">
        <f t="array" ref="C116">INDEX('Monthly Base'!$C$5:$C$67,A116+1)</f>
        <v>13</v>
      </c>
      <c r="D116" s="95">
        <f t="array" ref="D116">INDEX('Monthly Base'!$O$5:$O$67,A116+1)</f>
        <v>28163.82203</v>
      </c>
      <c r="E116" s="95">
        <f t="array" ref="E116">INDEX('Monthly Base'!$Y$5:$Y$67,A116+1)</f>
        <v>0</v>
      </c>
      <c r="F116" s="95">
        <f t="shared" si="87"/>
        <v>150000</v>
      </c>
      <c r="G116" s="8">
        <f t="shared" ref="G116:H116" si="104">W115</f>
        <v>228000</v>
      </c>
      <c r="H116" s="8">
        <f t="shared" si="104"/>
        <v>840862.6557</v>
      </c>
      <c r="I116" s="95">
        <f>IF(OR(A116&lt;Inputs!$B$15,G116&lt;=0),0,MIN(Financing!$B$10,G116))</f>
        <v>4000</v>
      </c>
      <c r="J116" s="8">
        <f>IF(OR(A116&lt;Inputs!$B$15,H116&lt;=0),0,H116*Inputs!$B$13/12)</f>
        <v>3328.414679</v>
      </c>
      <c r="K116" s="95">
        <f>IF(OR(A116&lt;Inputs!$B$15,H116&lt;=0),0,MIN(Financing!$C$10,H116+J116))</f>
        <v>16881.22078</v>
      </c>
      <c r="L116" s="95">
        <f t="shared" si="78"/>
        <v>20881.22078</v>
      </c>
      <c r="M116" s="8">
        <f t="shared" si="89"/>
        <v>81542.38574</v>
      </c>
      <c r="N116" s="8">
        <f t="shared" si="90"/>
        <v>5000</v>
      </c>
      <c r="O116" s="8">
        <f t="shared" si="91"/>
        <v>5000</v>
      </c>
      <c r="P116" s="8">
        <f t="shared" si="79"/>
        <v>12000</v>
      </c>
      <c r="Q116" s="95">
        <f>D116-J116-IF(C116=0,0,Inputs!$B$18)-P116</f>
        <v>6022.407355</v>
      </c>
      <c r="R116" s="8">
        <f>MAX(0,Q116-M116)*Inputs!$B$17</f>
        <v>0</v>
      </c>
      <c r="S116" s="8">
        <f t="shared" si="80"/>
        <v>75519.97839</v>
      </c>
      <c r="T116" s="95">
        <f t="shared" si="81"/>
        <v>145282.6013</v>
      </c>
      <c r="U116" s="8">
        <f>IF(AND(Inputs!$B$79=1,B116="OPEN",A116&gt;=Inputs!$B$82,C116&gt;=$C$10,MOD(C116-$C$10,$C$9)=0),MIN(MAX(0,T116-$C$8)*Inputs!$B$81,MAX(0,H116+J116-K116)),0)</f>
        <v>0</v>
      </c>
      <c r="V116" s="8">
        <f>IF(AND(Inputs!$B$79=1,B116="OPEN",A116&gt;=Inputs!$B$82,C116&gt;=$C$10,MOD(C116-$C$10,$C$9)=0),MIN(MAX(0,MAX(0,T116-$C$8)*Inputs!$B$81-U116),MAX(0,G116-I116)),0)</f>
        <v>0</v>
      </c>
      <c r="W116" s="8">
        <f t="shared" si="82"/>
        <v>224000</v>
      </c>
      <c r="X116" s="8">
        <f t="shared" si="83"/>
        <v>827309.8496</v>
      </c>
      <c r="Y116" s="8">
        <f t="shared" si="84"/>
        <v>1051309.85</v>
      </c>
      <c r="Z116" s="95">
        <f t="shared" si="85"/>
        <v>145282.6013</v>
      </c>
    </row>
    <row r="117">
      <c r="A117" s="8">
        <f t="shared" si="86"/>
        <v>16</v>
      </c>
      <c r="B117" s="96" t="str">
        <f t="array" ref="B117">INDEX('Monthly Base'!$B$5:$B$67,A117+1)</f>
        <v>OPEN</v>
      </c>
      <c r="C117" s="96">
        <f t="array" ref="C117">INDEX('Monthly Base'!$C$5:$C$67,A117+1)</f>
        <v>14</v>
      </c>
      <c r="D117" s="95">
        <f t="array" ref="D117">INDEX('Monthly Base'!$O$5:$O$67,A117+1)</f>
        <v>30408.94068</v>
      </c>
      <c r="E117" s="95">
        <f t="array" ref="E117">INDEX('Monthly Base'!$Y$5:$Y$67,A117+1)</f>
        <v>0</v>
      </c>
      <c r="F117" s="95">
        <f t="shared" si="87"/>
        <v>145282.6013</v>
      </c>
      <c r="G117" s="8">
        <f t="shared" ref="G117:H117" si="105">W116</f>
        <v>224000</v>
      </c>
      <c r="H117" s="8">
        <f t="shared" si="105"/>
        <v>827309.8496</v>
      </c>
      <c r="I117" s="95">
        <f>IF(OR(A117&lt;Inputs!$B$15,G117&lt;=0),0,MIN(Financing!$B$10,G117))</f>
        <v>4000</v>
      </c>
      <c r="J117" s="8">
        <f>IF(OR(A117&lt;Inputs!$B$15,H117&lt;=0),0,H117*Inputs!$B$13/12)</f>
        <v>3274.768155</v>
      </c>
      <c r="K117" s="95">
        <f>IF(OR(A117&lt;Inputs!$B$15,H117&lt;=0),0,MIN(Financing!$C$10,H117+J117))</f>
        <v>16881.22078</v>
      </c>
      <c r="L117" s="95">
        <f t="shared" si="78"/>
        <v>20881.22078</v>
      </c>
      <c r="M117" s="8">
        <f t="shared" si="89"/>
        <v>75519.97839</v>
      </c>
      <c r="N117" s="8">
        <f t="shared" si="90"/>
        <v>5000</v>
      </c>
      <c r="O117" s="8">
        <f t="shared" si="91"/>
        <v>5000</v>
      </c>
      <c r="P117" s="8">
        <f t="shared" si="79"/>
        <v>12000</v>
      </c>
      <c r="Q117" s="95">
        <f>D117-J117-IF(C117=0,0,Inputs!$B$18)-P117</f>
        <v>8321.172523</v>
      </c>
      <c r="R117" s="8">
        <f>MAX(0,Q117-M117)*Inputs!$B$17</f>
        <v>0</v>
      </c>
      <c r="S117" s="8">
        <f t="shared" si="80"/>
        <v>67198.80587</v>
      </c>
      <c r="T117" s="95">
        <f t="shared" si="81"/>
        <v>142810.3211</v>
      </c>
      <c r="U117" s="8">
        <f>IF(AND(Inputs!$B$79=1,B117="OPEN",A117&gt;=Inputs!$B$82,C117&gt;=$C$10,MOD(C117-$C$10,$C$9)=0),MIN(MAX(0,T117-$C$8)*Inputs!$B$81,MAX(0,H117+J117-K117)),0)</f>
        <v>0</v>
      </c>
      <c r="V117" s="8">
        <f>IF(AND(Inputs!$B$79=1,B117="OPEN",A117&gt;=Inputs!$B$82,C117&gt;=$C$10,MOD(C117-$C$10,$C$9)=0),MIN(MAX(0,MAX(0,T117-$C$8)*Inputs!$B$81-U117),MAX(0,G117-I117)),0)</f>
        <v>0</v>
      </c>
      <c r="W117" s="8">
        <f t="shared" si="82"/>
        <v>220000</v>
      </c>
      <c r="X117" s="8">
        <f t="shared" si="83"/>
        <v>813703.397</v>
      </c>
      <c r="Y117" s="8">
        <f t="shared" si="84"/>
        <v>1033703.397</v>
      </c>
      <c r="Z117" s="95">
        <f t="shared" si="85"/>
        <v>142810.3211</v>
      </c>
    </row>
    <row r="118">
      <c r="A118" s="8">
        <f t="shared" si="86"/>
        <v>17</v>
      </c>
      <c r="B118" s="96" t="str">
        <f t="array" ref="B118">INDEX('Monthly Base'!$B$5:$B$67,A118+1)</f>
        <v>OPEN</v>
      </c>
      <c r="C118" s="96">
        <f t="array" ref="C118">INDEX('Monthly Base'!$C$5:$C$67,A118+1)</f>
        <v>15</v>
      </c>
      <c r="D118" s="95">
        <f t="array" ref="D118">INDEX('Monthly Base'!$O$5:$O$67,A118+1)</f>
        <v>32841.15254</v>
      </c>
      <c r="E118" s="95">
        <f t="array" ref="E118">INDEX('Monthly Base'!$Y$5:$Y$67,A118+1)</f>
        <v>0</v>
      </c>
      <c r="F118" s="95">
        <f t="shared" si="87"/>
        <v>142810.3211</v>
      </c>
      <c r="G118" s="8">
        <f t="shared" ref="G118:H118" si="106">W117</f>
        <v>220000</v>
      </c>
      <c r="H118" s="8">
        <f t="shared" si="106"/>
        <v>813703.397</v>
      </c>
      <c r="I118" s="95">
        <f>IF(OR(A118&lt;Inputs!$B$15,G118&lt;=0),0,MIN(Financing!$B$10,G118))</f>
        <v>4000</v>
      </c>
      <c r="J118" s="8">
        <f>IF(OR(A118&lt;Inputs!$B$15,H118&lt;=0),0,H118*Inputs!$B$13/12)</f>
        <v>3220.90928</v>
      </c>
      <c r="K118" s="95">
        <f>IF(OR(A118&lt;Inputs!$B$15,H118&lt;=0),0,MIN(Financing!$C$10,H118+J118))</f>
        <v>16881.22078</v>
      </c>
      <c r="L118" s="95">
        <f t="shared" si="78"/>
        <v>20881.22078</v>
      </c>
      <c r="M118" s="8">
        <f t="shared" si="89"/>
        <v>67198.80587</v>
      </c>
      <c r="N118" s="8">
        <f t="shared" si="90"/>
        <v>5000</v>
      </c>
      <c r="O118" s="8">
        <f t="shared" si="91"/>
        <v>5000</v>
      </c>
      <c r="P118" s="8">
        <f t="shared" si="79"/>
        <v>12000</v>
      </c>
      <c r="Q118" s="95">
        <f>D118-J118-IF(C118=0,0,Inputs!$B$18)-P118</f>
        <v>10807.24326</v>
      </c>
      <c r="R118" s="8">
        <f>MAX(0,Q118-M118)*Inputs!$B$17</f>
        <v>0</v>
      </c>
      <c r="S118" s="8">
        <f t="shared" si="80"/>
        <v>56391.5626</v>
      </c>
      <c r="T118" s="95">
        <f t="shared" si="81"/>
        <v>142770.2529</v>
      </c>
      <c r="U118" s="8">
        <f>IF(AND(Inputs!$B$79=1,B118="OPEN",A118&gt;=Inputs!$B$82,C118&gt;=$C$10,MOD(C118-$C$10,$C$9)=0),MIN(MAX(0,T118-$C$8)*Inputs!$B$81,MAX(0,H118+J118-K118)),0)</f>
        <v>0</v>
      </c>
      <c r="V118" s="8">
        <f>IF(AND(Inputs!$B$79=1,B118="OPEN",A118&gt;=Inputs!$B$82,C118&gt;=$C$10,MOD(C118-$C$10,$C$9)=0),MIN(MAX(0,MAX(0,T118-$C$8)*Inputs!$B$81-U118),MAX(0,G118-I118)),0)</f>
        <v>0</v>
      </c>
      <c r="W118" s="8">
        <f t="shared" si="82"/>
        <v>216000</v>
      </c>
      <c r="X118" s="8">
        <f t="shared" si="83"/>
        <v>800043.0855</v>
      </c>
      <c r="Y118" s="8">
        <f t="shared" si="84"/>
        <v>1016043.086</v>
      </c>
      <c r="Z118" s="95">
        <f t="shared" si="85"/>
        <v>142770.2529</v>
      </c>
    </row>
    <row r="119">
      <c r="A119" s="8">
        <f t="shared" si="86"/>
        <v>18</v>
      </c>
      <c r="B119" s="96" t="str">
        <f t="array" ref="B119">INDEX('Monthly Base'!$B$5:$B$67,A119+1)</f>
        <v>OPEN</v>
      </c>
      <c r="C119" s="96">
        <f t="array" ref="C119">INDEX('Monthly Base'!$C$5:$C$67,A119+1)</f>
        <v>16</v>
      </c>
      <c r="D119" s="95">
        <f t="array" ref="D119">INDEX('Monthly Base'!$O$5:$O$67,A119+1)</f>
        <v>35086.27119</v>
      </c>
      <c r="E119" s="95">
        <f t="array" ref="E119">INDEX('Monthly Base'!$Y$5:$Y$67,A119+1)</f>
        <v>0</v>
      </c>
      <c r="F119" s="95">
        <f t="shared" si="87"/>
        <v>142770.2529</v>
      </c>
      <c r="G119" s="8">
        <f t="shared" ref="G119:H119" si="107">W118</f>
        <v>216000</v>
      </c>
      <c r="H119" s="8">
        <f t="shared" si="107"/>
        <v>800043.0855</v>
      </c>
      <c r="I119" s="95">
        <f>IF(OR(A119&lt;Inputs!$B$15,G119&lt;=0),0,MIN(Financing!$B$10,G119))</f>
        <v>4000</v>
      </c>
      <c r="J119" s="8">
        <f>IF(OR(A119&lt;Inputs!$B$15,H119&lt;=0),0,H119*Inputs!$B$13/12)</f>
        <v>3166.837213</v>
      </c>
      <c r="K119" s="95">
        <f>IF(OR(A119&lt;Inputs!$B$15,H119&lt;=0),0,MIN(Financing!$C$10,H119+J119))</f>
        <v>16881.22078</v>
      </c>
      <c r="L119" s="95">
        <f t="shared" si="78"/>
        <v>20881.22078</v>
      </c>
      <c r="M119" s="8">
        <f t="shared" si="89"/>
        <v>56391.5626</v>
      </c>
      <c r="N119" s="8">
        <f t="shared" si="90"/>
        <v>5000</v>
      </c>
      <c r="O119" s="8">
        <f t="shared" si="91"/>
        <v>5000</v>
      </c>
      <c r="P119" s="8">
        <f t="shared" si="79"/>
        <v>12000</v>
      </c>
      <c r="Q119" s="95">
        <f>D119-J119-IF(C119=0,0,Inputs!$B$18)-P119</f>
        <v>13106.43397</v>
      </c>
      <c r="R119" s="8">
        <f>MAX(0,Q119-M119)*Inputs!$B$17</f>
        <v>0</v>
      </c>
      <c r="S119" s="8">
        <f t="shared" si="80"/>
        <v>43285.12863</v>
      </c>
      <c r="T119" s="95">
        <f t="shared" si="81"/>
        <v>144975.3033</v>
      </c>
      <c r="U119" s="8">
        <f>IF(AND(Inputs!$B$79=1,B119="OPEN",A119&gt;=Inputs!$B$82,C119&gt;=$C$10,MOD(C119-$C$10,$C$9)=0),MIN(MAX(0,T119-$C$8)*Inputs!$B$81,MAX(0,H119+J119-K119)),0)</f>
        <v>0</v>
      </c>
      <c r="V119" s="8">
        <f>IF(AND(Inputs!$B$79=1,B119="OPEN",A119&gt;=Inputs!$B$82,C119&gt;=$C$10,MOD(C119-$C$10,$C$9)=0),MIN(MAX(0,MAX(0,T119-$C$8)*Inputs!$B$81-U119),MAX(0,G119-I119)),0)</f>
        <v>0</v>
      </c>
      <c r="W119" s="8">
        <f t="shared" si="82"/>
        <v>212000</v>
      </c>
      <c r="X119" s="8">
        <f t="shared" si="83"/>
        <v>786328.7019</v>
      </c>
      <c r="Y119" s="8">
        <f t="shared" si="84"/>
        <v>998328.7019</v>
      </c>
      <c r="Z119" s="95">
        <f t="shared" si="85"/>
        <v>144975.3033</v>
      </c>
    </row>
    <row r="120">
      <c r="A120" s="8">
        <f t="shared" si="86"/>
        <v>19</v>
      </c>
      <c r="B120" s="96" t="str">
        <f t="array" ref="B120">INDEX('Monthly Base'!$B$5:$B$67,A120+1)</f>
        <v>OPEN</v>
      </c>
      <c r="C120" s="96">
        <f t="array" ref="C120">INDEX('Monthly Base'!$C$5:$C$67,A120+1)</f>
        <v>17</v>
      </c>
      <c r="D120" s="95">
        <f t="array" ref="D120">INDEX('Monthly Base'!$O$5:$O$67,A120+1)</f>
        <v>37518.48305</v>
      </c>
      <c r="E120" s="95">
        <f t="array" ref="E120">INDEX('Monthly Base'!$Y$5:$Y$67,A120+1)</f>
        <v>0</v>
      </c>
      <c r="F120" s="95">
        <f t="shared" si="87"/>
        <v>144975.3033</v>
      </c>
      <c r="G120" s="8">
        <f t="shared" ref="G120:H120" si="108">W119</f>
        <v>212000</v>
      </c>
      <c r="H120" s="8">
        <f t="shared" si="108"/>
        <v>786328.7019</v>
      </c>
      <c r="I120" s="95">
        <f>IF(OR(A120&lt;Inputs!$B$15,G120&lt;=0),0,MIN(Financing!$B$10,G120))</f>
        <v>4000</v>
      </c>
      <c r="J120" s="8">
        <f>IF(OR(A120&lt;Inputs!$B$15,H120&lt;=0),0,H120*Inputs!$B$13/12)</f>
        <v>3112.551112</v>
      </c>
      <c r="K120" s="95">
        <f>IF(OR(A120&lt;Inputs!$B$15,H120&lt;=0),0,MIN(Financing!$C$10,H120+J120))</f>
        <v>16881.22078</v>
      </c>
      <c r="L120" s="95">
        <f t="shared" si="78"/>
        <v>20881.22078</v>
      </c>
      <c r="M120" s="8">
        <f t="shared" si="89"/>
        <v>43285.12863</v>
      </c>
      <c r="N120" s="8">
        <f t="shared" si="90"/>
        <v>5000</v>
      </c>
      <c r="O120" s="8">
        <f t="shared" si="91"/>
        <v>5000</v>
      </c>
      <c r="P120" s="8">
        <f t="shared" si="79"/>
        <v>12000</v>
      </c>
      <c r="Q120" s="95">
        <f>D120-J120-IF(C120=0,0,Inputs!$B$18)-P120</f>
        <v>15592.93194</v>
      </c>
      <c r="R120" s="8">
        <f>MAX(0,Q120-M120)*Inputs!$B$17</f>
        <v>0</v>
      </c>
      <c r="S120" s="8">
        <f t="shared" si="80"/>
        <v>27692.19669</v>
      </c>
      <c r="T120" s="95">
        <f t="shared" si="81"/>
        <v>149612.5656</v>
      </c>
      <c r="U120" s="8">
        <f>IF(AND(Inputs!$B$79=1,B120="OPEN",A120&gt;=Inputs!$B$82,C120&gt;=$C$10,MOD(C120-$C$10,$C$9)=0),MIN(MAX(0,T120-$C$8)*Inputs!$B$81,MAX(0,H120+J120-K120)),0)</f>
        <v>0</v>
      </c>
      <c r="V120" s="8">
        <f>IF(AND(Inputs!$B$79=1,B120="OPEN",A120&gt;=Inputs!$B$82,C120&gt;=$C$10,MOD(C120-$C$10,$C$9)=0),MIN(MAX(0,MAX(0,T120-$C$8)*Inputs!$B$81-U120),MAX(0,G120-I120)),0)</f>
        <v>0</v>
      </c>
      <c r="W120" s="8">
        <f t="shared" si="82"/>
        <v>208000</v>
      </c>
      <c r="X120" s="8">
        <f t="shared" si="83"/>
        <v>772560.0323</v>
      </c>
      <c r="Y120" s="8">
        <f t="shared" si="84"/>
        <v>980560.0323</v>
      </c>
      <c r="Z120" s="95">
        <f t="shared" si="85"/>
        <v>149612.5656</v>
      </c>
    </row>
    <row r="121">
      <c r="A121" s="8">
        <f t="shared" si="86"/>
        <v>20</v>
      </c>
      <c r="B121" s="96" t="str">
        <f t="array" ref="B121">INDEX('Monthly Base'!$B$5:$B$67,A121+1)</f>
        <v>OPEN</v>
      </c>
      <c r="C121" s="96">
        <f t="array" ref="C121">INDEX('Monthly Base'!$C$5:$C$67,A121+1)</f>
        <v>18</v>
      </c>
      <c r="D121" s="95">
        <f t="array" ref="D121">INDEX('Monthly Base'!$O$5:$O$67,A121+1)</f>
        <v>39763.60169</v>
      </c>
      <c r="E121" s="95">
        <f t="array" ref="E121">INDEX('Monthly Base'!$Y$5:$Y$67,A121+1)</f>
        <v>0</v>
      </c>
      <c r="F121" s="95">
        <f t="shared" si="87"/>
        <v>149612.5656</v>
      </c>
      <c r="G121" s="8">
        <f t="shared" ref="G121:H121" si="109">W120</f>
        <v>208000</v>
      </c>
      <c r="H121" s="8">
        <f t="shared" si="109"/>
        <v>772560.0323</v>
      </c>
      <c r="I121" s="95">
        <f>IF(OR(A121&lt;Inputs!$B$15,G121&lt;=0),0,MIN(Financing!$B$10,G121))</f>
        <v>4000</v>
      </c>
      <c r="J121" s="8">
        <f>IF(OR(A121&lt;Inputs!$B$15,H121&lt;=0),0,H121*Inputs!$B$13/12)</f>
        <v>3058.050128</v>
      </c>
      <c r="K121" s="95">
        <f>IF(OR(A121&lt;Inputs!$B$15,H121&lt;=0),0,MIN(Financing!$C$10,H121+J121))</f>
        <v>16881.22078</v>
      </c>
      <c r="L121" s="95">
        <f t="shared" si="78"/>
        <v>20881.22078</v>
      </c>
      <c r="M121" s="8">
        <f t="shared" si="89"/>
        <v>27692.19669</v>
      </c>
      <c r="N121" s="8">
        <f t="shared" si="90"/>
        <v>5000</v>
      </c>
      <c r="O121" s="8">
        <f t="shared" si="91"/>
        <v>5000</v>
      </c>
      <c r="P121" s="8">
        <f t="shared" si="79"/>
        <v>12000</v>
      </c>
      <c r="Q121" s="95">
        <f>D121-J121-IF(C121=0,0,Inputs!$B$18)-P121</f>
        <v>17892.55157</v>
      </c>
      <c r="R121" s="8">
        <f>MAX(0,Q121-M121)*Inputs!$B$17</f>
        <v>0</v>
      </c>
      <c r="S121" s="8">
        <f t="shared" si="80"/>
        <v>9799.645125</v>
      </c>
      <c r="T121" s="95">
        <f t="shared" si="81"/>
        <v>156494.9465</v>
      </c>
      <c r="U121" s="8">
        <f>IF(AND(Inputs!$B$79=1,B121="OPEN",A121&gt;=Inputs!$B$82,C121&gt;=$C$10,MOD(C121-$C$10,$C$9)=0),MIN(MAX(0,T121-$C$8)*Inputs!$B$81,MAX(0,H121+J121-K121)),0)</f>
        <v>6494.946499</v>
      </c>
      <c r="V121" s="8">
        <f>IF(AND(Inputs!$B$79=1,B121="OPEN",A121&gt;=Inputs!$B$82,C121&gt;=$C$10,MOD(C121-$C$10,$C$9)=0),MIN(MAX(0,MAX(0,T121-$C$8)*Inputs!$B$81-U121),MAX(0,G121-I121)),0)</f>
        <v>0</v>
      </c>
      <c r="W121" s="8">
        <f t="shared" si="82"/>
        <v>204000</v>
      </c>
      <c r="X121" s="8">
        <f t="shared" si="83"/>
        <v>752241.9151</v>
      </c>
      <c r="Y121" s="8">
        <f t="shared" si="84"/>
        <v>956241.9151</v>
      </c>
      <c r="Z121" s="95">
        <f t="shared" si="85"/>
        <v>150000</v>
      </c>
    </row>
    <row r="122">
      <c r="A122" s="8">
        <f t="shared" si="86"/>
        <v>21</v>
      </c>
      <c r="B122" s="96" t="str">
        <f t="array" ref="B122">INDEX('Monthly Base'!$B$5:$B$67,A122+1)</f>
        <v>OPEN</v>
      </c>
      <c r="C122" s="96">
        <f t="array" ref="C122">INDEX('Monthly Base'!$C$5:$C$67,A122+1)</f>
        <v>19</v>
      </c>
      <c r="D122" s="95">
        <f t="array" ref="D122">INDEX('Monthly Base'!$O$5:$O$67,A122+1)</f>
        <v>42195.81356</v>
      </c>
      <c r="E122" s="95">
        <f t="array" ref="E122">INDEX('Monthly Base'!$Y$5:$Y$67,A122+1)</f>
        <v>0</v>
      </c>
      <c r="F122" s="95">
        <f t="shared" si="87"/>
        <v>150000</v>
      </c>
      <c r="G122" s="8">
        <f t="shared" ref="G122:H122" si="110">W121</f>
        <v>204000</v>
      </c>
      <c r="H122" s="8">
        <f t="shared" si="110"/>
        <v>752241.9151</v>
      </c>
      <c r="I122" s="95">
        <f>IF(OR(A122&lt;Inputs!$B$15,G122&lt;=0),0,MIN(Financing!$B$10,G122))</f>
        <v>4000</v>
      </c>
      <c r="J122" s="8">
        <f>IF(OR(A122&lt;Inputs!$B$15,H122&lt;=0),0,H122*Inputs!$B$13/12)</f>
        <v>2977.624247</v>
      </c>
      <c r="K122" s="95">
        <f>IF(OR(A122&lt;Inputs!$B$15,H122&lt;=0),0,MIN(Financing!$C$10,H122+J122))</f>
        <v>16881.22078</v>
      </c>
      <c r="L122" s="95">
        <f t="shared" si="78"/>
        <v>20881.22078</v>
      </c>
      <c r="M122" s="8">
        <f t="shared" si="89"/>
        <v>9799.645125</v>
      </c>
      <c r="N122" s="8">
        <f t="shared" si="90"/>
        <v>5000</v>
      </c>
      <c r="O122" s="8">
        <f t="shared" si="91"/>
        <v>5000</v>
      </c>
      <c r="P122" s="8">
        <f t="shared" si="79"/>
        <v>12000</v>
      </c>
      <c r="Q122" s="95">
        <f>D122-J122-IF(C122=0,0,Inputs!$B$18)-P122</f>
        <v>20405.18931</v>
      </c>
      <c r="R122" s="8">
        <f>MAX(0,Q122-M122)*Inputs!$B$17</f>
        <v>2439.275163</v>
      </c>
      <c r="S122" s="8">
        <f t="shared" si="80"/>
        <v>0</v>
      </c>
      <c r="T122" s="95">
        <f t="shared" si="81"/>
        <v>156875.3176</v>
      </c>
      <c r="U122" s="8">
        <f>IF(AND(Inputs!$B$79=1,B122="OPEN",A122&gt;=Inputs!$B$82,C122&gt;=$C$10,MOD(C122-$C$10,$C$9)=0),MIN(MAX(0,T122-$C$8)*Inputs!$B$81,MAX(0,H122+J122-K122)),0)</f>
        <v>0</v>
      </c>
      <c r="V122" s="8">
        <f>IF(AND(Inputs!$B$79=1,B122="OPEN",A122&gt;=Inputs!$B$82,C122&gt;=$C$10,MOD(C122-$C$10,$C$9)=0),MIN(MAX(0,MAX(0,T122-$C$8)*Inputs!$B$81-U122),MAX(0,G122-I122)),0)</f>
        <v>0</v>
      </c>
      <c r="W122" s="8">
        <f t="shared" si="82"/>
        <v>200000</v>
      </c>
      <c r="X122" s="8">
        <f t="shared" si="83"/>
        <v>738338.3186</v>
      </c>
      <c r="Y122" s="8">
        <f t="shared" si="84"/>
        <v>938338.3186</v>
      </c>
      <c r="Z122" s="95">
        <f t="shared" si="85"/>
        <v>156875.3176</v>
      </c>
    </row>
    <row r="123">
      <c r="A123" s="8">
        <f t="shared" si="86"/>
        <v>22</v>
      </c>
      <c r="B123" s="96" t="str">
        <f t="array" ref="B123">INDEX('Monthly Base'!$B$5:$B$67,A123+1)</f>
        <v>OPEN</v>
      </c>
      <c r="C123" s="96">
        <f t="array" ref="C123">INDEX('Monthly Base'!$C$5:$C$67,A123+1)</f>
        <v>20</v>
      </c>
      <c r="D123" s="95">
        <f t="array" ref="D123">INDEX('Monthly Base'!$O$5:$O$67,A123+1)</f>
        <v>44440.9322</v>
      </c>
      <c r="E123" s="95">
        <f t="array" ref="E123">INDEX('Monthly Base'!$Y$5:$Y$67,A123+1)</f>
        <v>0</v>
      </c>
      <c r="F123" s="95">
        <f t="shared" si="87"/>
        <v>156875.3176</v>
      </c>
      <c r="G123" s="8">
        <f t="shared" ref="G123:H123" si="111">W122</f>
        <v>200000</v>
      </c>
      <c r="H123" s="8">
        <f t="shared" si="111"/>
        <v>738338.3186</v>
      </c>
      <c r="I123" s="95">
        <f>IF(OR(A123&lt;Inputs!$B$15,G123&lt;=0),0,MIN(Financing!$B$10,G123))</f>
        <v>4000</v>
      </c>
      <c r="J123" s="8">
        <f>IF(OR(A123&lt;Inputs!$B$15,H123&lt;=0),0,H123*Inputs!$B$13/12)</f>
        <v>2922.589178</v>
      </c>
      <c r="K123" s="95">
        <f>IF(OR(A123&lt;Inputs!$B$15,H123&lt;=0),0,MIN(Financing!$C$10,H123+J123))</f>
        <v>16881.22078</v>
      </c>
      <c r="L123" s="95">
        <f t="shared" si="78"/>
        <v>20881.22078</v>
      </c>
      <c r="M123" s="8">
        <f t="shared" si="89"/>
        <v>0</v>
      </c>
      <c r="N123" s="8">
        <f t="shared" si="90"/>
        <v>5000</v>
      </c>
      <c r="O123" s="8">
        <f t="shared" si="91"/>
        <v>5000</v>
      </c>
      <c r="P123" s="8">
        <f t="shared" si="79"/>
        <v>12000</v>
      </c>
      <c r="Q123" s="95">
        <f>D123-J123-IF(C123=0,0,Inputs!$B$18)-P123</f>
        <v>22705.34303</v>
      </c>
      <c r="R123" s="8">
        <f>MAX(0,Q123-M123)*Inputs!$B$17</f>
        <v>5222.228896</v>
      </c>
      <c r="S123" s="8">
        <f t="shared" si="80"/>
        <v>0</v>
      </c>
      <c r="T123" s="95">
        <f t="shared" si="81"/>
        <v>163212.8001</v>
      </c>
      <c r="U123" s="8">
        <f>IF(AND(Inputs!$B$79=1,B123="OPEN",A123&gt;=Inputs!$B$82,C123&gt;=$C$10,MOD(C123-$C$10,$C$9)=0),MIN(MAX(0,T123-$C$8)*Inputs!$B$81,MAX(0,H123+J123-K123)),0)</f>
        <v>0</v>
      </c>
      <c r="V123" s="8">
        <f>IF(AND(Inputs!$B$79=1,B123="OPEN",A123&gt;=Inputs!$B$82,C123&gt;=$C$10,MOD(C123-$C$10,$C$9)=0),MIN(MAX(0,MAX(0,T123-$C$8)*Inputs!$B$81-U123),MAX(0,G123-I123)),0)</f>
        <v>0</v>
      </c>
      <c r="W123" s="8">
        <f t="shared" si="82"/>
        <v>196000</v>
      </c>
      <c r="X123" s="8">
        <f t="shared" si="83"/>
        <v>724379.687</v>
      </c>
      <c r="Y123" s="8">
        <f t="shared" si="84"/>
        <v>920379.687</v>
      </c>
      <c r="Z123" s="95">
        <f t="shared" si="85"/>
        <v>163212.8001</v>
      </c>
    </row>
    <row r="124">
      <c r="A124" s="8">
        <f t="shared" si="86"/>
        <v>23</v>
      </c>
      <c r="B124" s="96" t="str">
        <f t="array" ref="B124">INDEX('Monthly Base'!$B$5:$B$67,A124+1)</f>
        <v>OPEN</v>
      </c>
      <c r="C124" s="96">
        <f t="array" ref="C124">INDEX('Monthly Base'!$C$5:$C$67,A124+1)</f>
        <v>21</v>
      </c>
      <c r="D124" s="95">
        <f t="array" ref="D124">INDEX('Monthly Base'!$O$5:$O$67,A124+1)</f>
        <v>46873.14407</v>
      </c>
      <c r="E124" s="95">
        <f t="array" ref="E124">INDEX('Monthly Base'!$Y$5:$Y$67,A124+1)</f>
        <v>0</v>
      </c>
      <c r="F124" s="95">
        <f t="shared" si="87"/>
        <v>163212.8001</v>
      </c>
      <c r="G124" s="8">
        <f t="shared" ref="G124:H124" si="112">W123</f>
        <v>196000</v>
      </c>
      <c r="H124" s="8">
        <f t="shared" si="112"/>
        <v>724379.687</v>
      </c>
      <c r="I124" s="95">
        <f>IF(OR(A124&lt;Inputs!$B$15,G124&lt;=0),0,MIN(Financing!$B$10,G124))</f>
        <v>4000</v>
      </c>
      <c r="J124" s="8">
        <f>IF(OR(A124&lt;Inputs!$B$15,H124&lt;=0),0,H124*Inputs!$B$13/12)</f>
        <v>2867.336261</v>
      </c>
      <c r="K124" s="95">
        <f>IF(OR(A124&lt;Inputs!$B$15,H124&lt;=0),0,MIN(Financing!$C$10,H124+J124))</f>
        <v>16881.22078</v>
      </c>
      <c r="L124" s="95">
        <f t="shared" si="78"/>
        <v>20881.22078</v>
      </c>
      <c r="M124" s="8">
        <f t="shared" si="89"/>
        <v>0</v>
      </c>
      <c r="N124" s="8">
        <f t="shared" si="90"/>
        <v>5000</v>
      </c>
      <c r="O124" s="8">
        <f t="shared" si="91"/>
        <v>5000</v>
      </c>
      <c r="P124" s="8">
        <f t="shared" si="79"/>
        <v>12000</v>
      </c>
      <c r="Q124" s="95">
        <f>D124-J124-IF(C124=0,0,Inputs!$B$18)-P124</f>
        <v>25192.80781</v>
      </c>
      <c r="R124" s="8">
        <f>MAX(0,Q124-M124)*Inputs!$B$17</f>
        <v>5794.345796</v>
      </c>
      <c r="S124" s="8">
        <f t="shared" si="80"/>
        <v>0</v>
      </c>
      <c r="T124" s="95">
        <f t="shared" si="81"/>
        <v>171410.3776</v>
      </c>
      <c r="U124" s="8">
        <f>IF(AND(Inputs!$B$79=1,B124="OPEN",A124&gt;=Inputs!$B$82,C124&gt;=$C$10,MOD(C124-$C$10,$C$9)=0),MIN(MAX(0,T124-$C$8)*Inputs!$B$81,MAX(0,H124+J124-K124)),0)</f>
        <v>0</v>
      </c>
      <c r="V124" s="8">
        <f>IF(AND(Inputs!$B$79=1,B124="OPEN",A124&gt;=Inputs!$B$82,C124&gt;=$C$10,MOD(C124-$C$10,$C$9)=0),MIN(MAX(0,MAX(0,T124-$C$8)*Inputs!$B$81-U124),MAX(0,G124-I124)),0)</f>
        <v>0</v>
      </c>
      <c r="W124" s="8">
        <f t="shared" si="82"/>
        <v>192000</v>
      </c>
      <c r="X124" s="8">
        <f t="shared" si="83"/>
        <v>710365.8025</v>
      </c>
      <c r="Y124" s="8">
        <f t="shared" si="84"/>
        <v>902365.8025</v>
      </c>
      <c r="Z124" s="95">
        <f t="shared" si="85"/>
        <v>171410.3776</v>
      </c>
    </row>
    <row r="125">
      <c r="A125" s="8">
        <f t="shared" si="86"/>
        <v>24</v>
      </c>
      <c r="B125" s="96" t="str">
        <f t="array" ref="B125">INDEX('Monthly Base'!$B$5:$B$67,A125+1)</f>
        <v>OPEN</v>
      </c>
      <c r="C125" s="96">
        <f t="array" ref="C125">INDEX('Monthly Base'!$C$5:$C$67,A125+1)</f>
        <v>22</v>
      </c>
      <c r="D125" s="95">
        <f t="array" ref="D125">INDEX('Monthly Base'!$O$5:$O$67,A125+1)</f>
        <v>49118.26271</v>
      </c>
      <c r="E125" s="95">
        <f t="array" ref="E125">INDEX('Monthly Base'!$Y$5:$Y$67,A125+1)</f>
        <v>0</v>
      </c>
      <c r="F125" s="95">
        <f t="shared" si="87"/>
        <v>171410.3776</v>
      </c>
      <c r="G125" s="8">
        <f t="shared" ref="G125:H125" si="113">W124</f>
        <v>192000</v>
      </c>
      <c r="H125" s="8">
        <f t="shared" si="113"/>
        <v>710365.8025</v>
      </c>
      <c r="I125" s="95">
        <f>IF(OR(A125&lt;Inputs!$B$15,G125&lt;=0),0,MIN(Financing!$B$10,G125))</f>
        <v>4000</v>
      </c>
      <c r="J125" s="8">
        <f>IF(OR(A125&lt;Inputs!$B$15,H125&lt;=0),0,H125*Inputs!$B$13/12)</f>
        <v>2811.864635</v>
      </c>
      <c r="K125" s="95">
        <f>IF(OR(A125&lt;Inputs!$B$15,H125&lt;=0),0,MIN(Financing!$C$10,H125+J125))</f>
        <v>16881.22078</v>
      </c>
      <c r="L125" s="95">
        <f t="shared" si="78"/>
        <v>20881.22078</v>
      </c>
      <c r="M125" s="8">
        <f t="shared" si="89"/>
        <v>0</v>
      </c>
      <c r="N125" s="8">
        <f t="shared" si="90"/>
        <v>5000</v>
      </c>
      <c r="O125" s="8">
        <f t="shared" si="91"/>
        <v>5000</v>
      </c>
      <c r="P125" s="8">
        <f t="shared" si="79"/>
        <v>12000</v>
      </c>
      <c r="Q125" s="95">
        <f>D125-J125-IF(C125=0,0,Inputs!$B$18)-P125</f>
        <v>27493.39808</v>
      </c>
      <c r="R125" s="8">
        <f>MAX(0,Q125-M125)*Inputs!$B$17</f>
        <v>6323.481558</v>
      </c>
      <c r="S125" s="8">
        <f t="shared" si="80"/>
        <v>0</v>
      </c>
      <c r="T125" s="95">
        <f t="shared" si="81"/>
        <v>181323.938</v>
      </c>
      <c r="U125" s="8">
        <f>IF(AND(Inputs!$B$79=1,B125="OPEN",A125&gt;=Inputs!$B$82,C125&gt;=$C$10,MOD(C125-$C$10,$C$9)=0),MIN(MAX(0,T125-$C$8)*Inputs!$B$81,MAX(0,H125+J125-K125)),0)</f>
        <v>0</v>
      </c>
      <c r="V125" s="8">
        <f>IF(AND(Inputs!$B$79=1,B125="OPEN",A125&gt;=Inputs!$B$82,C125&gt;=$C$10,MOD(C125-$C$10,$C$9)=0),MIN(MAX(0,MAX(0,T125-$C$8)*Inputs!$B$81-U125),MAX(0,G125-I125)),0)</f>
        <v>0</v>
      </c>
      <c r="W125" s="8">
        <f t="shared" si="82"/>
        <v>188000</v>
      </c>
      <c r="X125" s="8">
        <f t="shared" si="83"/>
        <v>696296.4463</v>
      </c>
      <c r="Y125" s="8">
        <f t="shared" si="84"/>
        <v>884296.4463</v>
      </c>
      <c r="Z125" s="95">
        <f t="shared" si="85"/>
        <v>181323.938</v>
      </c>
    </row>
    <row r="126">
      <c r="A126" s="8">
        <f t="shared" si="86"/>
        <v>25</v>
      </c>
      <c r="B126" s="96" t="str">
        <f t="array" ref="B126">INDEX('Monthly Base'!$B$5:$B$67,A126+1)</f>
        <v>OPEN</v>
      </c>
      <c r="C126" s="96">
        <f t="array" ref="C126">INDEX('Monthly Base'!$C$5:$C$67,A126+1)</f>
        <v>23</v>
      </c>
      <c r="D126" s="95">
        <f t="array" ref="D126">INDEX('Monthly Base'!$O$5:$O$67,A126+1)</f>
        <v>51550.47458</v>
      </c>
      <c r="E126" s="95">
        <f t="array" ref="E126">INDEX('Monthly Base'!$Y$5:$Y$67,A126+1)</f>
        <v>0</v>
      </c>
      <c r="F126" s="95">
        <f t="shared" si="87"/>
        <v>181323.938</v>
      </c>
      <c r="G126" s="8">
        <f t="shared" ref="G126:H126" si="114">W125</f>
        <v>188000</v>
      </c>
      <c r="H126" s="8">
        <f t="shared" si="114"/>
        <v>696296.4463</v>
      </c>
      <c r="I126" s="95">
        <f>IF(OR(A126&lt;Inputs!$B$15,G126&lt;=0),0,MIN(Financing!$B$10,G126))</f>
        <v>4000</v>
      </c>
      <c r="J126" s="8">
        <f>IF(OR(A126&lt;Inputs!$B$15,H126&lt;=0),0,H126*Inputs!$B$13/12)</f>
        <v>2756.173433</v>
      </c>
      <c r="K126" s="95">
        <f>IF(OR(A126&lt;Inputs!$B$15,H126&lt;=0),0,MIN(Financing!$C$10,H126+J126))</f>
        <v>16881.22078</v>
      </c>
      <c r="L126" s="95">
        <f t="shared" si="78"/>
        <v>20881.22078</v>
      </c>
      <c r="M126" s="8">
        <f t="shared" si="89"/>
        <v>0</v>
      </c>
      <c r="N126" s="8">
        <f t="shared" si="90"/>
        <v>5000</v>
      </c>
      <c r="O126" s="8">
        <f t="shared" si="91"/>
        <v>5000</v>
      </c>
      <c r="P126" s="8">
        <f t="shared" si="79"/>
        <v>12000</v>
      </c>
      <c r="Q126" s="95">
        <f>D126-J126-IF(C126=0,0,Inputs!$B$18)-P126</f>
        <v>29981.30114</v>
      </c>
      <c r="R126" s="8">
        <f>MAX(0,Q126-M126)*Inputs!$B$17</f>
        <v>6895.699263</v>
      </c>
      <c r="S126" s="8">
        <f t="shared" si="80"/>
        <v>0</v>
      </c>
      <c r="T126" s="95">
        <f t="shared" si="81"/>
        <v>193097.4925</v>
      </c>
      <c r="U126" s="8">
        <f>IF(AND(Inputs!$B$79=1,B126="OPEN",A126&gt;=Inputs!$B$82,C126&gt;=$C$10,MOD(C126-$C$10,$C$9)=0),MIN(MAX(0,T126-$C$8)*Inputs!$B$81,MAX(0,H126+J126-K126)),0)</f>
        <v>0</v>
      </c>
      <c r="V126" s="8">
        <f>IF(AND(Inputs!$B$79=1,B126="OPEN",A126&gt;=Inputs!$B$82,C126&gt;=$C$10,MOD(C126-$C$10,$C$9)=0),MIN(MAX(0,MAX(0,T126-$C$8)*Inputs!$B$81-U126),MAX(0,G126-I126)),0)</f>
        <v>0</v>
      </c>
      <c r="W126" s="8">
        <f t="shared" si="82"/>
        <v>184000</v>
      </c>
      <c r="X126" s="8">
        <f t="shared" si="83"/>
        <v>682171.399</v>
      </c>
      <c r="Y126" s="8">
        <f t="shared" si="84"/>
        <v>866171.399</v>
      </c>
      <c r="Z126" s="95">
        <f t="shared" si="85"/>
        <v>193097.4925</v>
      </c>
    </row>
    <row r="127">
      <c r="A127" s="8">
        <f t="shared" si="86"/>
        <v>26</v>
      </c>
      <c r="B127" s="96" t="str">
        <f t="array" ref="B127">INDEX('Monthly Base'!$B$5:$B$67,A127+1)</f>
        <v>OPEN</v>
      </c>
      <c r="C127" s="96">
        <f t="array" ref="C127">INDEX('Monthly Base'!$C$5:$C$67,A127+1)</f>
        <v>24</v>
      </c>
      <c r="D127" s="95">
        <f t="array" ref="D127">INDEX('Monthly Base'!$O$5:$O$67,A127+1)</f>
        <v>53795.59322</v>
      </c>
      <c r="E127" s="95">
        <f t="array" ref="E127">INDEX('Monthly Base'!$Y$5:$Y$67,A127+1)</f>
        <v>0</v>
      </c>
      <c r="F127" s="95">
        <f t="shared" si="87"/>
        <v>193097.4925</v>
      </c>
      <c r="G127" s="8">
        <f t="shared" ref="G127:H127" si="115">W126</f>
        <v>184000</v>
      </c>
      <c r="H127" s="8">
        <f t="shared" si="115"/>
        <v>682171.399</v>
      </c>
      <c r="I127" s="95">
        <f>IF(OR(A127&lt;Inputs!$B$15,G127&lt;=0),0,MIN(Financing!$B$10,G127))</f>
        <v>4000</v>
      </c>
      <c r="J127" s="8">
        <f>IF(OR(A127&lt;Inputs!$B$15,H127&lt;=0),0,H127*Inputs!$B$13/12)</f>
        <v>2700.261788</v>
      </c>
      <c r="K127" s="95">
        <f>IF(OR(A127&lt;Inputs!$B$15,H127&lt;=0),0,MIN(Financing!$C$10,H127+J127))</f>
        <v>16881.22078</v>
      </c>
      <c r="L127" s="95">
        <f t="shared" si="78"/>
        <v>20881.22078</v>
      </c>
      <c r="M127" s="8">
        <f t="shared" si="89"/>
        <v>0</v>
      </c>
      <c r="N127" s="8">
        <f t="shared" si="90"/>
        <v>5000</v>
      </c>
      <c r="O127" s="8">
        <f t="shared" si="91"/>
        <v>5000</v>
      </c>
      <c r="P127" s="8">
        <f t="shared" si="79"/>
        <v>12000</v>
      </c>
      <c r="Q127" s="95">
        <f>D127-J127-IF(C127=0,0,Inputs!$B$18)-P127</f>
        <v>32282.33143</v>
      </c>
      <c r="R127" s="8">
        <f>MAX(0,Q127-M127)*Inputs!$B$17</f>
        <v>7424.93623</v>
      </c>
      <c r="S127" s="8">
        <f t="shared" si="80"/>
        <v>0</v>
      </c>
      <c r="T127" s="95">
        <f t="shared" si="81"/>
        <v>206586.9287</v>
      </c>
      <c r="U127" s="8">
        <f>IF(AND(Inputs!$B$79=1,B127="OPEN",A127&gt;=Inputs!$B$82,C127&gt;=$C$10,MOD(C127-$C$10,$C$9)=0),MIN(MAX(0,T127-$C$8)*Inputs!$B$81,MAX(0,H127+J127-K127)),0)</f>
        <v>56586.92875</v>
      </c>
      <c r="V127" s="8">
        <f>IF(AND(Inputs!$B$79=1,B127="OPEN",A127&gt;=Inputs!$B$82,C127&gt;=$C$10,MOD(C127-$C$10,$C$9)=0),MIN(MAX(0,MAX(0,T127-$C$8)*Inputs!$B$81-U127),MAX(0,G127-I127)),0)</f>
        <v>0</v>
      </c>
      <c r="W127" s="8">
        <f t="shared" si="82"/>
        <v>180000</v>
      </c>
      <c r="X127" s="8">
        <f t="shared" si="83"/>
        <v>611403.5112</v>
      </c>
      <c r="Y127" s="8">
        <f t="shared" si="84"/>
        <v>791403.5112</v>
      </c>
      <c r="Z127" s="95">
        <f t="shared" si="85"/>
        <v>150000</v>
      </c>
    </row>
    <row r="128">
      <c r="A128" s="8">
        <f t="shared" si="86"/>
        <v>27</v>
      </c>
      <c r="B128" s="96" t="str">
        <f t="array" ref="B128">INDEX('Monthly Base'!$B$5:$B$67,A128+1)</f>
        <v>OPEN</v>
      </c>
      <c r="C128" s="96">
        <f t="array" ref="C128">INDEX('Monthly Base'!$C$5:$C$67,A128+1)</f>
        <v>25</v>
      </c>
      <c r="D128" s="95">
        <f t="array" ref="D128">INDEX('Monthly Base'!$O$5:$O$67,A128+1)</f>
        <v>55666.52542</v>
      </c>
      <c r="E128" s="95">
        <f t="array" ref="E128">INDEX('Monthly Base'!$Y$5:$Y$67,A128+1)</f>
        <v>0</v>
      </c>
      <c r="F128" s="95">
        <f t="shared" si="87"/>
        <v>150000</v>
      </c>
      <c r="G128" s="8">
        <f t="shared" ref="G128:H128" si="116">W127</f>
        <v>180000</v>
      </c>
      <c r="H128" s="8">
        <f t="shared" si="116"/>
        <v>611403.5112</v>
      </c>
      <c r="I128" s="95">
        <f>IF(OR(A128&lt;Inputs!$B$15,G128&lt;=0),0,MIN(Financing!$B$10,G128))</f>
        <v>4000</v>
      </c>
      <c r="J128" s="8">
        <f>IF(OR(A128&lt;Inputs!$B$15,H128&lt;=0),0,H128*Inputs!$B$13/12)</f>
        <v>2420.138899</v>
      </c>
      <c r="K128" s="95">
        <f>IF(OR(A128&lt;Inputs!$B$15,H128&lt;=0),0,MIN(Financing!$C$10,H128+J128))</f>
        <v>16881.22078</v>
      </c>
      <c r="L128" s="95">
        <f t="shared" si="78"/>
        <v>20881.22078</v>
      </c>
      <c r="M128" s="8">
        <f t="shared" si="89"/>
        <v>0</v>
      </c>
      <c r="N128" s="8">
        <f t="shared" si="90"/>
        <v>5000</v>
      </c>
      <c r="O128" s="8">
        <f t="shared" si="91"/>
        <v>5000</v>
      </c>
      <c r="P128" s="8">
        <f t="shared" si="79"/>
        <v>12000</v>
      </c>
      <c r="Q128" s="95">
        <f>D128-J128-IF(C128=0,0,Inputs!$B$18)-P128</f>
        <v>34433.38653</v>
      </c>
      <c r="R128" s="8">
        <f>MAX(0,Q128-M128)*Inputs!$B$17</f>
        <v>7919.678901</v>
      </c>
      <c r="S128" s="8">
        <f t="shared" si="80"/>
        <v>0</v>
      </c>
      <c r="T128" s="95">
        <f t="shared" si="81"/>
        <v>164865.6257</v>
      </c>
      <c r="U128" s="8">
        <f>IF(AND(Inputs!$B$79=1,B128="OPEN",A128&gt;=Inputs!$B$82,C128&gt;=$C$10,MOD(C128-$C$10,$C$9)=0),MIN(MAX(0,T128-$C$8)*Inputs!$B$81,MAX(0,H128+J128-K128)),0)</f>
        <v>0</v>
      </c>
      <c r="V128" s="8">
        <f>IF(AND(Inputs!$B$79=1,B128="OPEN",A128&gt;=Inputs!$B$82,C128&gt;=$C$10,MOD(C128-$C$10,$C$9)=0),MIN(MAX(0,MAX(0,T128-$C$8)*Inputs!$B$81-U128),MAX(0,G128-I128)),0)</f>
        <v>0</v>
      </c>
      <c r="W128" s="8">
        <f t="shared" si="82"/>
        <v>176000</v>
      </c>
      <c r="X128" s="8">
        <f t="shared" si="83"/>
        <v>596942.4294</v>
      </c>
      <c r="Y128" s="8">
        <f t="shared" si="84"/>
        <v>772942.4294</v>
      </c>
      <c r="Z128" s="95">
        <f t="shared" si="85"/>
        <v>164865.6257</v>
      </c>
    </row>
    <row r="129">
      <c r="A129" s="8">
        <f t="shared" si="86"/>
        <v>28</v>
      </c>
      <c r="B129" s="96" t="str">
        <f t="array" ref="B129">INDEX('Monthly Base'!$B$5:$B$67,A129+1)</f>
        <v>OPEN</v>
      </c>
      <c r="C129" s="96">
        <f t="array" ref="C129">INDEX('Monthly Base'!$C$5:$C$67,A129+1)</f>
        <v>26</v>
      </c>
      <c r="D129" s="95">
        <f t="array" ref="D129">INDEX('Monthly Base'!$O$5:$O$67,A129+1)</f>
        <v>57724.55085</v>
      </c>
      <c r="E129" s="95">
        <f t="array" ref="E129">INDEX('Monthly Base'!$Y$5:$Y$67,A129+1)</f>
        <v>0</v>
      </c>
      <c r="F129" s="95">
        <f t="shared" si="87"/>
        <v>164865.6257</v>
      </c>
      <c r="G129" s="8">
        <f t="shared" ref="G129:H129" si="117">W128</f>
        <v>176000</v>
      </c>
      <c r="H129" s="8">
        <f t="shared" si="117"/>
        <v>596942.4294</v>
      </c>
      <c r="I129" s="95">
        <f>IF(OR(A129&lt;Inputs!$B$15,G129&lt;=0),0,MIN(Financing!$B$10,G129))</f>
        <v>4000</v>
      </c>
      <c r="J129" s="8">
        <f>IF(OR(A129&lt;Inputs!$B$15,H129&lt;=0),0,H129*Inputs!$B$13/12)</f>
        <v>2362.897116</v>
      </c>
      <c r="K129" s="95">
        <f>IF(OR(A129&lt;Inputs!$B$15,H129&lt;=0),0,MIN(Financing!$C$10,H129+J129))</f>
        <v>16881.22078</v>
      </c>
      <c r="L129" s="95">
        <f t="shared" si="78"/>
        <v>20881.22078</v>
      </c>
      <c r="M129" s="8">
        <f t="shared" si="89"/>
        <v>0</v>
      </c>
      <c r="N129" s="8">
        <f t="shared" si="90"/>
        <v>5000</v>
      </c>
      <c r="O129" s="8">
        <f t="shared" si="91"/>
        <v>5000</v>
      </c>
      <c r="P129" s="8">
        <f t="shared" si="79"/>
        <v>12000</v>
      </c>
      <c r="Q129" s="95">
        <f>D129-J129-IF(C129=0,0,Inputs!$B$18)-P129</f>
        <v>36548.65373</v>
      </c>
      <c r="R129" s="8">
        <f>MAX(0,Q129-M129)*Inputs!$B$17</f>
        <v>8406.190358</v>
      </c>
      <c r="S129" s="8">
        <f t="shared" si="80"/>
        <v>0</v>
      </c>
      <c r="T129" s="95">
        <f t="shared" si="81"/>
        <v>181302.7654</v>
      </c>
      <c r="U129" s="8">
        <f>IF(AND(Inputs!$B$79=1,B129="OPEN",A129&gt;=Inputs!$B$82,C129&gt;=$C$10,MOD(C129-$C$10,$C$9)=0),MIN(MAX(0,T129-$C$8)*Inputs!$B$81,MAX(0,H129+J129-K129)),0)</f>
        <v>0</v>
      </c>
      <c r="V129" s="8">
        <f>IF(AND(Inputs!$B$79=1,B129="OPEN",A129&gt;=Inputs!$B$82,C129&gt;=$C$10,MOD(C129-$C$10,$C$9)=0),MIN(MAX(0,MAX(0,T129-$C$8)*Inputs!$B$81-U129),MAX(0,G129-I129)),0)</f>
        <v>0</v>
      </c>
      <c r="W129" s="8">
        <f t="shared" si="82"/>
        <v>172000</v>
      </c>
      <c r="X129" s="8">
        <f t="shared" si="83"/>
        <v>582424.1057</v>
      </c>
      <c r="Y129" s="8">
        <f t="shared" si="84"/>
        <v>754424.1057</v>
      </c>
      <c r="Z129" s="95">
        <f t="shared" si="85"/>
        <v>181302.7654</v>
      </c>
    </row>
    <row r="130">
      <c r="A130" s="8">
        <f t="shared" si="86"/>
        <v>29</v>
      </c>
      <c r="B130" s="96" t="str">
        <f t="array" ref="B130">INDEX('Monthly Base'!$B$5:$B$67,A130+1)</f>
        <v>OPEN</v>
      </c>
      <c r="C130" s="96">
        <f t="array" ref="C130">INDEX('Monthly Base'!$C$5:$C$67,A130+1)</f>
        <v>27</v>
      </c>
      <c r="D130" s="95">
        <f t="array" ref="D130">INDEX('Monthly Base'!$O$5:$O$67,A130+1)</f>
        <v>59595.48305</v>
      </c>
      <c r="E130" s="95">
        <f t="array" ref="E130">INDEX('Monthly Base'!$Y$5:$Y$67,A130+1)</f>
        <v>0</v>
      </c>
      <c r="F130" s="95">
        <f t="shared" si="87"/>
        <v>181302.7654</v>
      </c>
      <c r="G130" s="8">
        <f t="shared" ref="G130:H130" si="118">W129</f>
        <v>172000</v>
      </c>
      <c r="H130" s="8">
        <f t="shared" si="118"/>
        <v>582424.1057</v>
      </c>
      <c r="I130" s="95">
        <f>IF(OR(A130&lt;Inputs!$B$15,G130&lt;=0),0,MIN(Financing!$B$10,G130))</f>
        <v>4000</v>
      </c>
      <c r="J130" s="8">
        <f>IF(OR(A130&lt;Inputs!$B$15,H130&lt;=0),0,H130*Inputs!$B$13/12)</f>
        <v>2305.428752</v>
      </c>
      <c r="K130" s="95">
        <f>IF(OR(A130&lt;Inputs!$B$15,H130&lt;=0),0,MIN(Financing!$C$10,H130+J130))</f>
        <v>16881.22078</v>
      </c>
      <c r="L130" s="95">
        <f t="shared" si="78"/>
        <v>20881.22078</v>
      </c>
      <c r="M130" s="8">
        <f t="shared" si="89"/>
        <v>0</v>
      </c>
      <c r="N130" s="8">
        <f t="shared" si="90"/>
        <v>5000</v>
      </c>
      <c r="O130" s="8">
        <f t="shared" si="91"/>
        <v>5000</v>
      </c>
      <c r="P130" s="8">
        <f t="shared" si="79"/>
        <v>12000</v>
      </c>
      <c r="Q130" s="95">
        <f>D130-J130-IF(C130=0,0,Inputs!$B$18)-P130</f>
        <v>38477.0543</v>
      </c>
      <c r="R130" s="8">
        <f>MAX(0,Q130-M130)*Inputs!$B$17</f>
        <v>8849.722489</v>
      </c>
      <c r="S130" s="8">
        <f t="shared" si="80"/>
        <v>0</v>
      </c>
      <c r="T130" s="95">
        <f t="shared" si="81"/>
        <v>199167.3052</v>
      </c>
      <c r="U130" s="8">
        <f>IF(AND(Inputs!$B$79=1,B130="OPEN",A130&gt;=Inputs!$B$82,C130&gt;=$C$10,MOD(C130-$C$10,$C$9)=0),MIN(MAX(0,T130-$C$8)*Inputs!$B$81,MAX(0,H130+J130-K130)),0)</f>
        <v>0</v>
      </c>
      <c r="V130" s="8">
        <f>IF(AND(Inputs!$B$79=1,B130="OPEN",A130&gt;=Inputs!$B$82,C130&gt;=$C$10,MOD(C130-$C$10,$C$9)=0),MIN(MAX(0,MAX(0,T130-$C$8)*Inputs!$B$81-U130),MAX(0,G130-I130)),0)</f>
        <v>0</v>
      </c>
      <c r="W130" s="8">
        <f t="shared" si="82"/>
        <v>168000</v>
      </c>
      <c r="X130" s="8">
        <f t="shared" si="83"/>
        <v>567848.3137</v>
      </c>
      <c r="Y130" s="8">
        <f t="shared" si="84"/>
        <v>735848.3137</v>
      </c>
      <c r="Z130" s="95">
        <f t="shared" si="85"/>
        <v>199167.3052</v>
      </c>
    </row>
    <row r="131">
      <c r="A131" s="8">
        <f t="shared" si="86"/>
        <v>30</v>
      </c>
      <c r="B131" s="96" t="str">
        <f t="array" ref="B131">INDEX('Monthly Base'!$B$5:$B$67,A131+1)</f>
        <v>OPEN</v>
      </c>
      <c r="C131" s="96">
        <f t="array" ref="C131">INDEX('Monthly Base'!$C$5:$C$67,A131+1)</f>
        <v>28</v>
      </c>
      <c r="D131" s="95">
        <f t="array" ref="D131">INDEX('Monthly Base'!$O$5:$O$67,A131+1)</f>
        <v>61653.50847</v>
      </c>
      <c r="E131" s="95">
        <f t="array" ref="E131">INDEX('Monthly Base'!$Y$5:$Y$67,A131+1)</f>
        <v>0</v>
      </c>
      <c r="F131" s="95">
        <f t="shared" si="87"/>
        <v>199167.3052</v>
      </c>
      <c r="G131" s="8">
        <f t="shared" ref="G131:H131" si="119">W130</f>
        <v>168000</v>
      </c>
      <c r="H131" s="8">
        <f t="shared" si="119"/>
        <v>567848.3137</v>
      </c>
      <c r="I131" s="95">
        <f>IF(OR(A131&lt;Inputs!$B$15,G131&lt;=0),0,MIN(Financing!$B$10,G131))</f>
        <v>4000</v>
      </c>
      <c r="J131" s="8">
        <f>IF(OR(A131&lt;Inputs!$B$15,H131&lt;=0),0,H131*Inputs!$B$13/12)</f>
        <v>2247.732908</v>
      </c>
      <c r="K131" s="95">
        <f>IF(OR(A131&lt;Inputs!$B$15,H131&lt;=0),0,MIN(Financing!$C$10,H131+J131))</f>
        <v>16881.22078</v>
      </c>
      <c r="L131" s="95">
        <f t="shared" si="78"/>
        <v>20881.22078</v>
      </c>
      <c r="M131" s="8">
        <f t="shared" si="89"/>
        <v>0</v>
      </c>
      <c r="N131" s="8">
        <f t="shared" si="90"/>
        <v>5000</v>
      </c>
      <c r="O131" s="8">
        <f t="shared" si="91"/>
        <v>5000</v>
      </c>
      <c r="P131" s="8">
        <f t="shared" si="79"/>
        <v>12000</v>
      </c>
      <c r="Q131" s="95">
        <f>D131-J131-IF(C131=0,0,Inputs!$B$18)-P131</f>
        <v>40592.77557</v>
      </c>
      <c r="R131" s="8">
        <f>MAX(0,Q131-M131)*Inputs!$B$17</f>
        <v>9336.33838</v>
      </c>
      <c r="S131" s="8">
        <f t="shared" si="80"/>
        <v>0</v>
      </c>
      <c r="T131" s="95">
        <f t="shared" si="81"/>
        <v>218603.2545</v>
      </c>
      <c r="U131" s="8">
        <f>IF(AND(Inputs!$B$79=1,B131="OPEN",A131&gt;=Inputs!$B$82,C131&gt;=$C$10,MOD(C131-$C$10,$C$9)=0),MIN(MAX(0,T131-$C$8)*Inputs!$B$81,MAX(0,H131+J131-K131)),0)</f>
        <v>0</v>
      </c>
      <c r="V131" s="8">
        <f>IF(AND(Inputs!$B$79=1,B131="OPEN",A131&gt;=Inputs!$B$82,C131&gt;=$C$10,MOD(C131-$C$10,$C$9)=0),MIN(MAX(0,MAX(0,T131-$C$8)*Inputs!$B$81-U131),MAX(0,G131-I131)),0)</f>
        <v>0</v>
      </c>
      <c r="W131" s="8">
        <f t="shared" si="82"/>
        <v>164000</v>
      </c>
      <c r="X131" s="8">
        <f t="shared" si="83"/>
        <v>553214.8258</v>
      </c>
      <c r="Y131" s="8">
        <f t="shared" si="84"/>
        <v>717214.8258</v>
      </c>
      <c r="Z131" s="95">
        <f t="shared" si="85"/>
        <v>218603.2545</v>
      </c>
    </row>
    <row r="132">
      <c r="A132" s="8">
        <f t="shared" si="86"/>
        <v>31</v>
      </c>
      <c r="B132" s="96" t="str">
        <f t="array" ref="B132">INDEX('Monthly Base'!$B$5:$B$67,A132+1)</f>
        <v>OPEN</v>
      </c>
      <c r="C132" s="96">
        <f t="array" ref="C132">INDEX('Monthly Base'!$C$5:$C$67,A132+1)</f>
        <v>29</v>
      </c>
      <c r="D132" s="95">
        <f t="array" ref="D132">INDEX('Monthly Base'!$O$5:$O$67,A132+1)</f>
        <v>63524.44068</v>
      </c>
      <c r="E132" s="95">
        <f t="array" ref="E132">INDEX('Monthly Base'!$Y$5:$Y$67,A132+1)</f>
        <v>0</v>
      </c>
      <c r="F132" s="95">
        <f t="shared" si="87"/>
        <v>218603.2545</v>
      </c>
      <c r="G132" s="8">
        <f t="shared" ref="G132:H132" si="120">W131</f>
        <v>164000</v>
      </c>
      <c r="H132" s="8">
        <f t="shared" si="120"/>
        <v>553214.8258</v>
      </c>
      <c r="I132" s="95">
        <f>IF(OR(A132&lt;Inputs!$B$15,G132&lt;=0),0,MIN(Financing!$B$10,G132))</f>
        <v>4000</v>
      </c>
      <c r="J132" s="8">
        <f>IF(OR(A132&lt;Inputs!$B$15,H132&lt;=0),0,H132*Inputs!$B$13/12)</f>
        <v>2189.808685</v>
      </c>
      <c r="K132" s="95">
        <f>IF(OR(A132&lt;Inputs!$B$15,H132&lt;=0),0,MIN(Financing!$C$10,H132+J132))</f>
        <v>16881.22078</v>
      </c>
      <c r="L132" s="95">
        <f t="shared" si="78"/>
        <v>20881.22078</v>
      </c>
      <c r="M132" s="8">
        <f t="shared" si="89"/>
        <v>0</v>
      </c>
      <c r="N132" s="8">
        <f t="shared" si="90"/>
        <v>5000</v>
      </c>
      <c r="O132" s="8">
        <f t="shared" si="91"/>
        <v>5000</v>
      </c>
      <c r="P132" s="8">
        <f t="shared" si="79"/>
        <v>12000</v>
      </c>
      <c r="Q132" s="95">
        <f>D132-J132-IF(C132=0,0,Inputs!$B$18)-P132</f>
        <v>42521.63199</v>
      </c>
      <c r="R132" s="8">
        <f>MAX(0,Q132-M132)*Inputs!$B$17</f>
        <v>9779.975358</v>
      </c>
      <c r="S132" s="8">
        <f t="shared" si="80"/>
        <v>0</v>
      </c>
      <c r="T132" s="95">
        <f t="shared" si="81"/>
        <v>239466.4991</v>
      </c>
      <c r="U132" s="8">
        <f>IF(AND(Inputs!$B$79=1,B132="OPEN",A132&gt;=Inputs!$B$82,C132&gt;=$C$10,MOD(C132-$C$10,$C$9)=0),MIN(MAX(0,T132-$C$8)*Inputs!$B$81,MAX(0,H132+J132-K132)),0)</f>
        <v>0</v>
      </c>
      <c r="V132" s="8">
        <f>IF(AND(Inputs!$B$79=1,B132="OPEN",A132&gt;=Inputs!$B$82,C132&gt;=$C$10,MOD(C132-$C$10,$C$9)=0),MIN(MAX(0,MAX(0,T132-$C$8)*Inputs!$B$81-U132),MAX(0,G132-I132)),0)</f>
        <v>0</v>
      </c>
      <c r="W132" s="8">
        <f t="shared" si="82"/>
        <v>160000</v>
      </c>
      <c r="X132" s="8">
        <f t="shared" si="83"/>
        <v>538523.4137</v>
      </c>
      <c r="Y132" s="8">
        <f t="shared" si="84"/>
        <v>698523.4137</v>
      </c>
      <c r="Z132" s="95">
        <f t="shared" si="85"/>
        <v>239466.4991</v>
      </c>
    </row>
    <row r="133">
      <c r="A133" s="8">
        <f t="shared" si="86"/>
        <v>32</v>
      </c>
      <c r="B133" s="96" t="str">
        <f t="array" ref="B133">INDEX('Monthly Base'!$B$5:$B$67,A133+1)</f>
        <v>OPEN</v>
      </c>
      <c r="C133" s="96">
        <f t="array" ref="C133">INDEX('Monthly Base'!$C$5:$C$67,A133+1)</f>
        <v>30</v>
      </c>
      <c r="D133" s="95">
        <f t="array" ref="D133">INDEX('Monthly Base'!$O$5:$O$67,A133+1)</f>
        <v>65582.4661</v>
      </c>
      <c r="E133" s="95">
        <f t="array" ref="E133">INDEX('Monthly Base'!$Y$5:$Y$67,A133+1)</f>
        <v>0</v>
      </c>
      <c r="F133" s="95">
        <f t="shared" si="87"/>
        <v>239466.4991</v>
      </c>
      <c r="G133" s="8">
        <f t="shared" ref="G133:H133" si="121">W132</f>
        <v>160000</v>
      </c>
      <c r="H133" s="8">
        <f t="shared" si="121"/>
        <v>538523.4137</v>
      </c>
      <c r="I133" s="95">
        <f>IF(OR(A133&lt;Inputs!$B$15,G133&lt;=0),0,MIN(Financing!$B$10,G133))</f>
        <v>4000</v>
      </c>
      <c r="J133" s="8">
        <f>IF(OR(A133&lt;Inputs!$B$15,H133&lt;=0),0,H133*Inputs!$B$13/12)</f>
        <v>2131.655179</v>
      </c>
      <c r="K133" s="95">
        <f>IF(OR(A133&lt;Inputs!$B$15,H133&lt;=0),0,MIN(Financing!$C$10,H133+J133))</f>
        <v>16881.22078</v>
      </c>
      <c r="L133" s="95">
        <f t="shared" si="78"/>
        <v>20881.22078</v>
      </c>
      <c r="M133" s="8">
        <f t="shared" si="89"/>
        <v>0</v>
      </c>
      <c r="N133" s="8">
        <f t="shared" si="90"/>
        <v>5000</v>
      </c>
      <c r="O133" s="8">
        <f t="shared" si="91"/>
        <v>5000</v>
      </c>
      <c r="P133" s="8">
        <f t="shared" si="79"/>
        <v>12000</v>
      </c>
      <c r="Q133" s="95">
        <f>D133-J133-IF(C133=0,0,Inputs!$B$18)-P133</f>
        <v>44637.81092</v>
      </c>
      <c r="R133" s="8">
        <f>MAX(0,Q133-M133)*Inputs!$B$17</f>
        <v>10266.69651</v>
      </c>
      <c r="S133" s="8">
        <f t="shared" si="80"/>
        <v>0</v>
      </c>
      <c r="T133" s="95">
        <f t="shared" si="81"/>
        <v>261901.0479</v>
      </c>
      <c r="U133" s="8">
        <f>IF(AND(Inputs!$B$79=1,B133="OPEN",A133&gt;=Inputs!$B$82,C133&gt;=$C$10,MOD(C133-$C$10,$C$9)=0),MIN(MAX(0,T133-$C$8)*Inputs!$B$81,MAX(0,H133+J133-K133)),0)</f>
        <v>111901.0479</v>
      </c>
      <c r="V133" s="8">
        <f>IF(AND(Inputs!$B$79=1,B133="OPEN",A133&gt;=Inputs!$B$82,C133&gt;=$C$10,MOD(C133-$C$10,$C$9)=0),MIN(MAX(0,MAX(0,T133-$C$8)*Inputs!$B$81-U133),MAX(0,G133-I133)),0)</f>
        <v>0</v>
      </c>
      <c r="W133" s="8">
        <f t="shared" si="82"/>
        <v>156000</v>
      </c>
      <c r="X133" s="8">
        <f t="shared" si="83"/>
        <v>411872.8002</v>
      </c>
      <c r="Y133" s="8">
        <f t="shared" si="84"/>
        <v>567872.8002</v>
      </c>
      <c r="Z133" s="95">
        <f t="shared" si="85"/>
        <v>150000</v>
      </c>
    </row>
    <row r="134">
      <c r="A134" s="8">
        <f t="shared" si="86"/>
        <v>33</v>
      </c>
      <c r="B134" s="96" t="str">
        <f t="array" ref="B134">INDEX('Monthly Base'!$B$5:$B$67,A134+1)</f>
        <v>OPEN</v>
      </c>
      <c r="C134" s="96">
        <f t="array" ref="C134">INDEX('Monthly Base'!$C$5:$C$67,A134+1)</f>
        <v>31</v>
      </c>
      <c r="D134" s="95">
        <f t="array" ref="D134">INDEX('Monthly Base'!$O$5:$O$67,A134+1)</f>
        <v>67453.39831</v>
      </c>
      <c r="E134" s="95">
        <f t="array" ref="E134">INDEX('Monthly Base'!$Y$5:$Y$67,A134+1)</f>
        <v>0</v>
      </c>
      <c r="F134" s="95">
        <f t="shared" si="87"/>
        <v>150000</v>
      </c>
      <c r="G134" s="8">
        <f t="shared" ref="G134:H134" si="122">W133</f>
        <v>156000</v>
      </c>
      <c r="H134" s="8">
        <f t="shared" si="122"/>
        <v>411872.8002</v>
      </c>
      <c r="I134" s="95">
        <f>IF(OR(A134&lt;Inputs!$B$15,G134&lt;=0),0,MIN(Financing!$B$10,G134))</f>
        <v>4000</v>
      </c>
      <c r="J134" s="8">
        <f>IF(OR(A134&lt;Inputs!$B$15,H134&lt;=0),0,H134*Inputs!$B$13/12)</f>
        <v>1630.329834</v>
      </c>
      <c r="K134" s="95">
        <f>IF(OR(A134&lt;Inputs!$B$15,H134&lt;=0),0,MIN(Financing!$C$10,H134+J134))</f>
        <v>16881.22078</v>
      </c>
      <c r="L134" s="95">
        <f t="shared" si="78"/>
        <v>20881.22078</v>
      </c>
      <c r="M134" s="8">
        <f t="shared" si="89"/>
        <v>0</v>
      </c>
      <c r="N134" s="8">
        <f t="shared" si="90"/>
        <v>5000</v>
      </c>
      <c r="O134" s="8">
        <f t="shared" si="91"/>
        <v>5000</v>
      </c>
      <c r="P134" s="8">
        <f t="shared" si="79"/>
        <v>12000</v>
      </c>
      <c r="Q134" s="95">
        <f>D134-J134-IF(C134=0,0,Inputs!$B$18)-P134</f>
        <v>47010.06847</v>
      </c>
      <c r="R134" s="8">
        <f>MAX(0,Q134-M134)*Inputs!$B$17</f>
        <v>10812.31575</v>
      </c>
      <c r="S134" s="8">
        <f t="shared" si="80"/>
        <v>0</v>
      </c>
      <c r="T134" s="95">
        <f t="shared" si="81"/>
        <v>173759.8618</v>
      </c>
      <c r="U134" s="8">
        <f>IF(AND(Inputs!$B$79=1,B134="OPEN",A134&gt;=Inputs!$B$82,C134&gt;=$C$10,MOD(C134-$C$10,$C$9)=0),MIN(MAX(0,T134-$C$8)*Inputs!$B$81,MAX(0,H134+J134-K134)),0)</f>
        <v>0</v>
      </c>
      <c r="V134" s="8">
        <f>IF(AND(Inputs!$B$79=1,B134="OPEN",A134&gt;=Inputs!$B$82,C134&gt;=$C$10,MOD(C134-$C$10,$C$9)=0),MIN(MAX(0,MAX(0,T134-$C$8)*Inputs!$B$81-U134),MAX(0,G134-I134)),0)</f>
        <v>0</v>
      </c>
      <c r="W134" s="8">
        <f t="shared" si="82"/>
        <v>152000</v>
      </c>
      <c r="X134" s="8">
        <f t="shared" si="83"/>
        <v>396621.9092</v>
      </c>
      <c r="Y134" s="8">
        <f t="shared" si="84"/>
        <v>548621.9092</v>
      </c>
      <c r="Z134" s="95">
        <f t="shared" si="85"/>
        <v>173759.8618</v>
      </c>
    </row>
    <row r="135">
      <c r="A135" s="8">
        <f t="shared" si="86"/>
        <v>34</v>
      </c>
      <c r="B135" s="96" t="str">
        <f t="array" ref="B135">INDEX('Monthly Base'!$B$5:$B$67,A135+1)</f>
        <v>OPEN</v>
      </c>
      <c r="C135" s="96">
        <f t="array" ref="C135">INDEX('Monthly Base'!$C$5:$C$67,A135+1)</f>
        <v>32</v>
      </c>
      <c r="D135" s="95">
        <f t="array" ref="D135">INDEX('Monthly Base'!$O$5:$O$67,A135+1)</f>
        <v>69324.33051</v>
      </c>
      <c r="E135" s="95">
        <f t="array" ref="E135">INDEX('Monthly Base'!$Y$5:$Y$67,A135+1)</f>
        <v>0</v>
      </c>
      <c r="F135" s="95">
        <f t="shared" si="87"/>
        <v>173759.8618</v>
      </c>
      <c r="G135" s="8">
        <f t="shared" ref="G135:H135" si="123">W134</f>
        <v>152000</v>
      </c>
      <c r="H135" s="8">
        <f t="shared" si="123"/>
        <v>396621.9092</v>
      </c>
      <c r="I135" s="95">
        <f>IF(OR(A135&lt;Inputs!$B$15,G135&lt;=0),0,MIN(Financing!$B$10,G135))</f>
        <v>4000</v>
      </c>
      <c r="J135" s="8">
        <f>IF(OR(A135&lt;Inputs!$B$15,H135&lt;=0),0,H135*Inputs!$B$13/12)</f>
        <v>1569.961724</v>
      </c>
      <c r="K135" s="95">
        <f>IF(OR(A135&lt;Inputs!$B$15,H135&lt;=0),0,MIN(Financing!$C$10,H135+J135))</f>
        <v>16881.22078</v>
      </c>
      <c r="L135" s="95">
        <f t="shared" si="78"/>
        <v>20881.22078</v>
      </c>
      <c r="M135" s="8">
        <f t="shared" si="89"/>
        <v>0</v>
      </c>
      <c r="N135" s="8">
        <f t="shared" si="90"/>
        <v>5000</v>
      </c>
      <c r="O135" s="8">
        <f t="shared" si="91"/>
        <v>5000</v>
      </c>
      <c r="P135" s="8">
        <f t="shared" si="79"/>
        <v>12000</v>
      </c>
      <c r="Q135" s="95">
        <f>D135-J135-IF(C135=0,0,Inputs!$B$18)-P135</f>
        <v>48941.36878</v>
      </c>
      <c r="R135" s="8">
        <f>MAX(0,Q135-M135)*Inputs!$B$17</f>
        <v>11256.51482</v>
      </c>
      <c r="S135" s="8">
        <f t="shared" si="80"/>
        <v>0</v>
      </c>
      <c r="T135" s="95">
        <f t="shared" si="81"/>
        <v>198946.4567</v>
      </c>
      <c r="U135" s="8">
        <f>IF(AND(Inputs!$B$79=1,B135="OPEN",A135&gt;=Inputs!$B$82,C135&gt;=$C$10,MOD(C135-$C$10,$C$9)=0),MIN(MAX(0,T135-$C$8)*Inputs!$B$81,MAX(0,H135+J135-K135)),0)</f>
        <v>0</v>
      </c>
      <c r="V135" s="8">
        <f>IF(AND(Inputs!$B$79=1,B135="OPEN",A135&gt;=Inputs!$B$82,C135&gt;=$C$10,MOD(C135-$C$10,$C$9)=0),MIN(MAX(0,MAX(0,T135-$C$8)*Inputs!$B$81-U135),MAX(0,G135-I135)),0)</f>
        <v>0</v>
      </c>
      <c r="W135" s="8">
        <f t="shared" si="82"/>
        <v>148000</v>
      </c>
      <c r="X135" s="8">
        <f t="shared" si="83"/>
        <v>381310.6502</v>
      </c>
      <c r="Y135" s="8">
        <f t="shared" si="84"/>
        <v>529310.6502</v>
      </c>
      <c r="Z135" s="95">
        <f t="shared" si="85"/>
        <v>198946.4567</v>
      </c>
    </row>
    <row r="136">
      <c r="A136" s="8">
        <f t="shared" si="86"/>
        <v>35</v>
      </c>
      <c r="B136" s="96" t="str">
        <f t="array" ref="B136">INDEX('Monthly Base'!$B$5:$B$67,A136+1)</f>
        <v>OPEN</v>
      </c>
      <c r="C136" s="96">
        <f t="array" ref="C136">INDEX('Monthly Base'!$C$5:$C$67,A136+1)</f>
        <v>33</v>
      </c>
      <c r="D136" s="95">
        <f t="array" ref="D136">INDEX('Monthly Base'!$O$5:$O$67,A136+1)</f>
        <v>71382.35593</v>
      </c>
      <c r="E136" s="95">
        <f t="array" ref="E136">INDEX('Monthly Base'!$Y$5:$Y$67,A136+1)</f>
        <v>0</v>
      </c>
      <c r="F136" s="95">
        <f t="shared" si="87"/>
        <v>198946.4567</v>
      </c>
      <c r="G136" s="8">
        <f t="shared" ref="G136:H136" si="124">W135</f>
        <v>148000</v>
      </c>
      <c r="H136" s="8">
        <f t="shared" si="124"/>
        <v>381310.6502</v>
      </c>
      <c r="I136" s="95">
        <f>IF(OR(A136&lt;Inputs!$B$15,G136&lt;=0),0,MIN(Financing!$B$10,G136))</f>
        <v>4000</v>
      </c>
      <c r="J136" s="8">
        <f>IF(OR(A136&lt;Inputs!$B$15,H136&lt;=0),0,H136*Inputs!$B$13/12)</f>
        <v>1509.354657</v>
      </c>
      <c r="K136" s="95">
        <f>IF(OR(A136&lt;Inputs!$B$15,H136&lt;=0),0,MIN(Financing!$C$10,H136+J136))</f>
        <v>16881.22078</v>
      </c>
      <c r="L136" s="95">
        <f t="shared" si="78"/>
        <v>20881.22078</v>
      </c>
      <c r="M136" s="8">
        <f t="shared" si="89"/>
        <v>0</v>
      </c>
      <c r="N136" s="8">
        <f t="shared" si="90"/>
        <v>5000</v>
      </c>
      <c r="O136" s="8">
        <f t="shared" si="91"/>
        <v>5000</v>
      </c>
      <c r="P136" s="8">
        <f t="shared" si="79"/>
        <v>12000</v>
      </c>
      <c r="Q136" s="95">
        <f>D136-J136-IF(C136=0,0,Inputs!$B$18)-P136</f>
        <v>51060.00128</v>
      </c>
      <c r="R136" s="8">
        <f>MAX(0,Q136-M136)*Inputs!$B$17</f>
        <v>11743.80029</v>
      </c>
      <c r="S136" s="8">
        <f t="shared" si="80"/>
        <v>0</v>
      </c>
      <c r="T136" s="95">
        <f t="shared" si="81"/>
        <v>225703.7915</v>
      </c>
      <c r="U136" s="8">
        <f>IF(AND(Inputs!$B$79=1,B136="OPEN",A136&gt;=Inputs!$B$82,C136&gt;=$C$10,MOD(C136-$C$10,$C$9)=0),MIN(MAX(0,T136-$C$8)*Inputs!$B$81,MAX(0,H136+J136-K136)),0)</f>
        <v>0</v>
      </c>
      <c r="V136" s="8">
        <f>IF(AND(Inputs!$B$79=1,B136="OPEN",A136&gt;=Inputs!$B$82,C136&gt;=$C$10,MOD(C136-$C$10,$C$9)=0),MIN(MAX(0,MAX(0,T136-$C$8)*Inputs!$B$81-U136),MAX(0,G136-I136)),0)</f>
        <v>0</v>
      </c>
      <c r="W136" s="8">
        <f t="shared" si="82"/>
        <v>144000</v>
      </c>
      <c r="X136" s="8">
        <f t="shared" si="83"/>
        <v>365938.7841</v>
      </c>
      <c r="Y136" s="8">
        <f t="shared" si="84"/>
        <v>509938.7841</v>
      </c>
      <c r="Z136" s="95">
        <f t="shared" si="85"/>
        <v>225703.7915</v>
      </c>
    </row>
    <row r="137">
      <c r="A137" s="8">
        <f t="shared" si="86"/>
        <v>36</v>
      </c>
      <c r="B137" s="96" t="str">
        <f t="array" ref="B137">INDEX('Monthly Base'!$B$5:$B$67,A137+1)</f>
        <v>OPEN</v>
      </c>
      <c r="C137" s="96">
        <f t="array" ref="C137">INDEX('Monthly Base'!$C$5:$C$67,A137+1)</f>
        <v>34</v>
      </c>
      <c r="D137" s="95">
        <f t="array" ref="D137">INDEX('Monthly Base'!$O$5:$O$67,A137+1)</f>
        <v>73253.28814</v>
      </c>
      <c r="E137" s="95">
        <f t="array" ref="E137">INDEX('Monthly Base'!$Y$5:$Y$67,A137+1)</f>
        <v>0</v>
      </c>
      <c r="F137" s="95">
        <f t="shared" si="87"/>
        <v>225703.7915</v>
      </c>
      <c r="G137" s="8">
        <f t="shared" ref="G137:H137" si="125">W136</f>
        <v>144000</v>
      </c>
      <c r="H137" s="8">
        <f t="shared" si="125"/>
        <v>365938.7841</v>
      </c>
      <c r="I137" s="95">
        <f>IF(OR(A137&lt;Inputs!$B$15,G137&lt;=0),0,MIN(Financing!$B$10,G137))</f>
        <v>4000</v>
      </c>
      <c r="J137" s="8">
        <f>IF(OR(A137&lt;Inputs!$B$15,H137&lt;=0),0,H137*Inputs!$B$13/12)</f>
        <v>1448.507687</v>
      </c>
      <c r="K137" s="95">
        <f>IF(OR(A137&lt;Inputs!$B$15,H137&lt;=0),0,MIN(Financing!$C$10,H137+J137))</f>
        <v>16881.22078</v>
      </c>
      <c r="L137" s="95">
        <f t="shared" si="78"/>
        <v>20881.22078</v>
      </c>
      <c r="M137" s="8">
        <f t="shared" si="89"/>
        <v>0</v>
      </c>
      <c r="N137" s="8">
        <f t="shared" si="90"/>
        <v>5000</v>
      </c>
      <c r="O137" s="8">
        <f t="shared" si="91"/>
        <v>5000</v>
      </c>
      <c r="P137" s="8">
        <f t="shared" si="79"/>
        <v>12000</v>
      </c>
      <c r="Q137" s="95">
        <f>D137-J137-IF(C137=0,0,Inputs!$B$18)-P137</f>
        <v>52991.78045</v>
      </c>
      <c r="R137" s="8">
        <f>MAX(0,Q137-M137)*Inputs!$B$17</f>
        <v>12188.1095</v>
      </c>
      <c r="S137" s="8">
        <f t="shared" si="80"/>
        <v>0</v>
      </c>
      <c r="T137" s="95">
        <f t="shared" si="81"/>
        <v>253887.7494</v>
      </c>
      <c r="U137" s="8">
        <f>IF(AND(Inputs!$B$79=1,B137="OPEN",A137&gt;=Inputs!$B$82,C137&gt;=$C$10,MOD(C137-$C$10,$C$9)=0),MIN(MAX(0,T137-$C$8)*Inputs!$B$81,MAX(0,H137+J137-K137)),0)</f>
        <v>0</v>
      </c>
      <c r="V137" s="8">
        <f>IF(AND(Inputs!$B$79=1,B137="OPEN",A137&gt;=Inputs!$B$82,C137&gt;=$C$10,MOD(C137-$C$10,$C$9)=0),MIN(MAX(0,MAX(0,T137-$C$8)*Inputs!$B$81-U137),MAX(0,G137-I137)),0)</f>
        <v>0</v>
      </c>
      <c r="W137" s="8">
        <f t="shared" si="82"/>
        <v>140000</v>
      </c>
      <c r="X137" s="8">
        <f t="shared" si="83"/>
        <v>350506.071</v>
      </c>
      <c r="Y137" s="8">
        <f t="shared" si="84"/>
        <v>490506.071</v>
      </c>
      <c r="Z137" s="95">
        <f t="shared" si="85"/>
        <v>253887.7494</v>
      </c>
    </row>
    <row r="138">
      <c r="A138" s="8">
        <f t="shared" si="86"/>
        <v>37</v>
      </c>
      <c r="B138" s="96" t="str">
        <f t="array" ref="B138">INDEX('Monthly Base'!$B$5:$B$67,A138+1)</f>
        <v>OPEN</v>
      </c>
      <c r="C138" s="96">
        <f t="array" ref="C138">INDEX('Monthly Base'!$C$5:$C$67,A138+1)</f>
        <v>35</v>
      </c>
      <c r="D138" s="95">
        <f t="array" ref="D138">INDEX('Monthly Base'!$O$5:$O$67,A138+1)</f>
        <v>75311.31356</v>
      </c>
      <c r="E138" s="95">
        <f t="array" ref="E138">INDEX('Monthly Base'!$Y$5:$Y$67,A138+1)</f>
        <v>0</v>
      </c>
      <c r="F138" s="95">
        <f t="shared" si="87"/>
        <v>253887.7494</v>
      </c>
      <c r="G138" s="8">
        <f t="shared" ref="G138:H138" si="126">W137</f>
        <v>140000</v>
      </c>
      <c r="H138" s="8">
        <f t="shared" si="126"/>
        <v>350506.071</v>
      </c>
      <c r="I138" s="95">
        <f>IF(OR(A138&lt;Inputs!$B$15,G138&lt;=0),0,MIN(Financing!$B$10,G138))</f>
        <v>4000</v>
      </c>
      <c r="J138" s="8">
        <f>IF(OR(A138&lt;Inputs!$B$15,H138&lt;=0),0,H138*Inputs!$B$13/12)</f>
        <v>1387.419864</v>
      </c>
      <c r="K138" s="95">
        <f>IF(OR(A138&lt;Inputs!$B$15,H138&lt;=0),0,MIN(Financing!$C$10,H138+J138))</f>
        <v>16881.22078</v>
      </c>
      <c r="L138" s="95">
        <f t="shared" si="78"/>
        <v>20881.22078</v>
      </c>
      <c r="M138" s="8">
        <f t="shared" si="89"/>
        <v>0</v>
      </c>
      <c r="N138" s="8">
        <f t="shared" si="90"/>
        <v>5000</v>
      </c>
      <c r="O138" s="8">
        <f t="shared" si="91"/>
        <v>5000</v>
      </c>
      <c r="P138" s="8">
        <f t="shared" si="79"/>
        <v>12000</v>
      </c>
      <c r="Q138" s="95">
        <f>D138-J138-IF(C138=0,0,Inputs!$B$18)-P138</f>
        <v>55110.8937</v>
      </c>
      <c r="R138" s="8">
        <f>MAX(0,Q138-M138)*Inputs!$B$17</f>
        <v>12675.50555</v>
      </c>
      <c r="S138" s="8">
        <f t="shared" si="80"/>
        <v>0</v>
      </c>
      <c r="T138" s="95">
        <f t="shared" si="81"/>
        <v>283642.3366</v>
      </c>
      <c r="U138" s="8">
        <f>IF(AND(Inputs!$B$79=1,B138="OPEN",A138&gt;=Inputs!$B$82,C138&gt;=$C$10,MOD(C138-$C$10,$C$9)=0),MIN(MAX(0,T138-$C$8)*Inputs!$B$81,MAX(0,H138+J138-K138)),0)</f>
        <v>0</v>
      </c>
      <c r="V138" s="8">
        <f>IF(AND(Inputs!$B$79=1,B138="OPEN",A138&gt;=Inputs!$B$82,C138&gt;=$C$10,MOD(C138-$C$10,$C$9)=0),MIN(MAX(0,MAX(0,T138-$C$8)*Inputs!$B$81-U138),MAX(0,G138-I138)),0)</f>
        <v>0</v>
      </c>
      <c r="W138" s="8">
        <f t="shared" si="82"/>
        <v>136000</v>
      </c>
      <c r="X138" s="8">
        <f t="shared" si="83"/>
        <v>335012.2701</v>
      </c>
      <c r="Y138" s="8">
        <f t="shared" si="84"/>
        <v>471012.2701</v>
      </c>
      <c r="Z138" s="95">
        <f t="shared" si="85"/>
        <v>283642.3366</v>
      </c>
    </row>
    <row r="139">
      <c r="A139" s="8">
        <f t="shared" si="86"/>
        <v>38</v>
      </c>
      <c r="B139" s="96" t="str">
        <f t="array" ref="B139">INDEX('Monthly Base'!$B$5:$B$67,A139+1)</f>
        <v>OPEN</v>
      </c>
      <c r="C139" s="96">
        <f t="array" ref="C139">INDEX('Monthly Base'!$C$5:$C$67,A139+1)</f>
        <v>36</v>
      </c>
      <c r="D139" s="95">
        <f t="array" ref="D139">INDEX('Monthly Base'!$O$5:$O$67,A139+1)</f>
        <v>77182.24576</v>
      </c>
      <c r="E139" s="95">
        <f t="array" ref="E139">INDEX('Monthly Base'!$Y$5:$Y$67,A139+1)</f>
        <v>0</v>
      </c>
      <c r="F139" s="95">
        <f t="shared" si="87"/>
        <v>283642.3366</v>
      </c>
      <c r="G139" s="8">
        <f t="shared" ref="G139:H139" si="127">W138</f>
        <v>136000</v>
      </c>
      <c r="H139" s="8">
        <f t="shared" si="127"/>
        <v>335012.2701</v>
      </c>
      <c r="I139" s="95">
        <f>IF(OR(A139&lt;Inputs!$B$15,G139&lt;=0),0,MIN(Financing!$B$10,G139))</f>
        <v>4000</v>
      </c>
      <c r="J139" s="8">
        <f>IF(OR(A139&lt;Inputs!$B$15,H139&lt;=0),0,H139*Inputs!$B$13/12)</f>
        <v>1326.090236</v>
      </c>
      <c r="K139" s="95">
        <f>IF(OR(A139&lt;Inputs!$B$15,H139&lt;=0),0,MIN(Financing!$C$10,H139+J139))</f>
        <v>16881.22078</v>
      </c>
      <c r="L139" s="95">
        <f t="shared" si="78"/>
        <v>20881.22078</v>
      </c>
      <c r="M139" s="8">
        <f t="shared" si="89"/>
        <v>0</v>
      </c>
      <c r="N139" s="8">
        <f t="shared" si="90"/>
        <v>5000</v>
      </c>
      <c r="O139" s="8">
        <f t="shared" si="91"/>
        <v>5000</v>
      </c>
      <c r="P139" s="8">
        <f t="shared" si="79"/>
        <v>12000</v>
      </c>
      <c r="Q139" s="95">
        <f>D139-J139-IF(C139=0,0,Inputs!$B$18)-P139</f>
        <v>57043.15553</v>
      </c>
      <c r="R139" s="8">
        <f>MAX(0,Q139-M139)*Inputs!$B$17</f>
        <v>13119.92577</v>
      </c>
      <c r="S139" s="8">
        <f t="shared" si="80"/>
        <v>0</v>
      </c>
      <c r="T139" s="95">
        <f t="shared" si="81"/>
        <v>314823.4358</v>
      </c>
      <c r="U139" s="8">
        <f>IF(AND(Inputs!$B$79=1,B139="OPEN",A139&gt;=Inputs!$B$82,C139&gt;=$C$10,MOD(C139-$C$10,$C$9)=0),MIN(MAX(0,T139-$C$8)*Inputs!$B$81,MAX(0,H139+J139-K139)),0)</f>
        <v>164823.4358</v>
      </c>
      <c r="V139" s="8">
        <f>IF(AND(Inputs!$B$79=1,B139="OPEN",A139&gt;=Inputs!$B$82,C139&gt;=$C$10,MOD(C139-$C$10,$C$9)=0),MIN(MAX(0,MAX(0,T139-$C$8)*Inputs!$B$81-U139),MAX(0,G139-I139)),0)</f>
        <v>0</v>
      </c>
      <c r="W139" s="8">
        <f t="shared" si="82"/>
        <v>132000</v>
      </c>
      <c r="X139" s="8">
        <f t="shared" si="83"/>
        <v>154633.7037</v>
      </c>
      <c r="Y139" s="8">
        <f t="shared" si="84"/>
        <v>286633.7037</v>
      </c>
      <c r="Z139" s="95">
        <f t="shared" si="85"/>
        <v>150000</v>
      </c>
    </row>
    <row r="140">
      <c r="A140" s="8">
        <f t="shared" si="86"/>
        <v>39</v>
      </c>
      <c r="B140" s="96" t="str">
        <f t="array" ref="B140">INDEX('Monthly Base'!$B$5:$B$67,A140+1)</f>
        <v>OPEN</v>
      </c>
      <c r="C140" s="96">
        <f t="array" ref="C140">INDEX('Monthly Base'!$C$5:$C$67,A140+1)</f>
        <v>37</v>
      </c>
      <c r="D140" s="95">
        <f t="array" ref="D140">INDEX('Monthly Base'!$O$5:$O$67,A140+1)</f>
        <v>78304.80508</v>
      </c>
      <c r="E140" s="95">
        <f t="array" ref="E140">INDEX('Monthly Base'!$Y$5:$Y$67,A140+1)</f>
        <v>0</v>
      </c>
      <c r="F140" s="95">
        <f t="shared" si="87"/>
        <v>150000</v>
      </c>
      <c r="G140" s="8">
        <f t="shared" ref="G140:H140" si="128">W139</f>
        <v>132000</v>
      </c>
      <c r="H140" s="8">
        <f t="shared" si="128"/>
        <v>154633.7037</v>
      </c>
      <c r="I140" s="95">
        <f>IF(OR(A140&lt;Inputs!$B$15,G140&lt;=0),0,MIN(Financing!$B$10,G140))</f>
        <v>4000</v>
      </c>
      <c r="J140" s="8">
        <f>IF(OR(A140&lt;Inputs!$B$15,H140&lt;=0),0,H140*Inputs!$B$13/12)</f>
        <v>612.0917437</v>
      </c>
      <c r="K140" s="95">
        <f>IF(OR(A140&lt;Inputs!$B$15,H140&lt;=0),0,MIN(Financing!$C$10,H140+J140))</f>
        <v>16881.22078</v>
      </c>
      <c r="L140" s="95">
        <f t="shared" si="78"/>
        <v>20881.22078</v>
      </c>
      <c r="M140" s="8">
        <f t="shared" si="89"/>
        <v>0</v>
      </c>
      <c r="N140" s="8">
        <f t="shared" si="90"/>
        <v>5000</v>
      </c>
      <c r="O140" s="8">
        <f t="shared" si="91"/>
        <v>5000</v>
      </c>
      <c r="P140" s="8">
        <f t="shared" si="79"/>
        <v>12000</v>
      </c>
      <c r="Q140" s="95">
        <f>D140-J140-IF(C140=0,0,Inputs!$B$18)-P140</f>
        <v>58879.71334</v>
      </c>
      <c r="R140" s="8">
        <f>MAX(0,Q140-M140)*Inputs!$B$17</f>
        <v>13542.33407</v>
      </c>
      <c r="S140" s="8">
        <f t="shared" si="80"/>
        <v>0</v>
      </c>
      <c r="T140" s="95">
        <f t="shared" si="81"/>
        <v>181881.2502</v>
      </c>
      <c r="U140" s="8">
        <f>IF(AND(Inputs!$B$79=1,B140="OPEN",A140&gt;=Inputs!$B$82,C140&gt;=$C$10,MOD(C140-$C$10,$C$9)=0),MIN(MAX(0,T140-$C$8)*Inputs!$B$81,MAX(0,H140+J140-K140)),0)</f>
        <v>0</v>
      </c>
      <c r="V140" s="8">
        <f>IF(AND(Inputs!$B$79=1,B140="OPEN",A140&gt;=Inputs!$B$82,C140&gt;=$C$10,MOD(C140-$C$10,$C$9)=0),MIN(MAX(0,MAX(0,T140-$C$8)*Inputs!$B$81-U140),MAX(0,G140-I140)),0)</f>
        <v>0</v>
      </c>
      <c r="W140" s="8">
        <f t="shared" si="82"/>
        <v>128000</v>
      </c>
      <c r="X140" s="8">
        <f t="shared" si="83"/>
        <v>138364.5746</v>
      </c>
      <c r="Y140" s="8">
        <f t="shared" si="84"/>
        <v>266364.5746</v>
      </c>
      <c r="Z140" s="95">
        <f t="shared" si="85"/>
        <v>181881.2502</v>
      </c>
    </row>
    <row r="141">
      <c r="A141" s="8">
        <f t="shared" si="86"/>
        <v>40</v>
      </c>
      <c r="B141" s="96" t="str">
        <f t="array" ref="B141">INDEX('Monthly Base'!$B$5:$B$67,A141+1)</f>
        <v>OPEN</v>
      </c>
      <c r="C141" s="96">
        <f t="array" ref="C141">INDEX('Monthly Base'!$C$5:$C$67,A141+1)</f>
        <v>38</v>
      </c>
      <c r="D141" s="95">
        <f t="array" ref="D141">INDEX('Monthly Base'!$O$5:$O$67,A141+1)</f>
        <v>79614.45763</v>
      </c>
      <c r="E141" s="95">
        <f t="array" ref="E141">INDEX('Monthly Base'!$Y$5:$Y$67,A141+1)</f>
        <v>0</v>
      </c>
      <c r="F141" s="95">
        <f t="shared" si="87"/>
        <v>181881.2502</v>
      </c>
      <c r="G141" s="8">
        <f t="shared" ref="G141:H141" si="129">W140</f>
        <v>128000</v>
      </c>
      <c r="H141" s="8">
        <f t="shared" si="129"/>
        <v>138364.5746</v>
      </c>
      <c r="I141" s="95">
        <f>IF(OR(A141&lt;Inputs!$B$15,G141&lt;=0),0,MIN(Financing!$B$10,G141))</f>
        <v>4000</v>
      </c>
      <c r="J141" s="8">
        <f>IF(OR(A141&lt;Inputs!$B$15,H141&lt;=0),0,H141*Inputs!$B$13/12)</f>
        <v>547.693108</v>
      </c>
      <c r="K141" s="95">
        <f>IF(OR(A141&lt;Inputs!$B$15,H141&lt;=0),0,MIN(Financing!$C$10,H141+J141))</f>
        <v>16881.22078</v>
      </c>
      <c r="L141" s="95">
        <f t="shared" si="78"/>
        <v>20881.22078</v>
      </c>
      <c r="M141" s="8">
        <f t="shared" si="89"/>
        <v>0</v>
      </c>
      <c r="N141" s="8">
        <f t="shared" si="90"/>
        <v>5000</v>
      </c>
      <c r="O141" s="8">
        <f t="shared" si="91"/>
        <v>5000</v>
      </c>
      <c r="P141" s="8">
        <f t="shared" si="79"/>
        <v>12000</v>
      </c>
      <c r="Q141" s="95">
        <f>D141-J141-IF(C141=0,0,Inputs!$B$18)-P141</f>
        <v>60253.76452</v>
      </c>
      <c r="R141" s="8">
        <f>MAX(0,Q141-M141)*Inputs!$B$17</f>
        <v>13858.36584</v>
      </c>
      <c r="S141" s="8">
        <f t="shared" si="80"/>
        <v>0</v>
      </c>
      <c r="T141" s="95">
        <f t="shared" si="81"/>
        <v>214756.1212</v>
      </c>
      <c r="U141" s="8">
        <f>IF(AND(Inputs!$B$79=1,B141="OPEN",A141&gt;=Inputs!$B$82,C141&gt;=$C$10,MOD(C141-$C$10,$C$9)=0),MIN(MAX(0,T141-$C$8)*Inputs!$B$81,MAX(0,H141+J141-K141)),0)</f>
        <v>0</v>
      </c>
      <c r="V141" s="8">
        <f>IF(AND(Inputs!$B$79=1,B141="OPEN",A141&gt;=Inputs!$B$82,C141&gt;=$C$10,MOD(C141-$C$10,$C$9)=0),MIN(MAX(0,MAX(0,T141-$C$8)*Inputs!$B$81-U141),MAX(0,G141-I141)),0)</f>
        <v>0</v>
      </c>
      <c r="W141" s="8">
        <f t="shared" si="82"/>
        <v>124000</v>
      </c>
      <c r="X141" s="8">
        <f t="shared" si="83"/>
        <v>122031.047</v>
      </c>
      <c r="Y141" s="8">
        <f t="shared" si="84"/>
        <v>246031.047</v>
      </c>
      <c r="Z141" s="95">
        <f t="shared" si="85"/>
        <v>214756.1212</v>
      </c>
    </row>
    <row r="142">
      <c r="A142" s="8">
        <f t="shared" si="86"/>
        <v>41</v>
      </c>
      <c r="B142" s="96" t="str">
        <f t="array" ref="B142">INDEX('Monthly Base'!$B$5:$B$67,A142+1)</f>
        <v>OPEN</v>
      </c>
      <c r="C142" s="96">
        <f t="array" ref="C142">INDEX('Monthly Base'!$C$5:$C$67,A142+1)</f>
        <v>39</v>
      </c>
      <c r="D142" s="95">
        <f t="array" ref="D142">INDEX('Monthly Base'!$O$5:$O$67,A142+1)</f>
        <v>80737.01695</v>
      </c>
      <c r="E142" s="95">
        <f t="array" ref="E142">INDEX('Monthly Base'!$Y$5:$Y$67,A142+1)</f>
        <v>0</v>
      </c>
      <c r="F142" s="95">
        <f t="shared" si="87"/>
        <v>214756.1212</v>
      </c>
      <c r="G142" s="8">
        <f t="shared" ref="G142:H142" si="130">W141</f>
        <v>124000</v>
      </c>
      <c r="H142" s="8">
        <f t="shared" si="130"/>
        <v>122031.047</v>
      </c>
      <c r="I142" s="95">
        <f>IF(OR(A142&lt;Inputs!$B$15,G142&lt;=0),0,MIN(Financing!$B$10,G142))</f>
        <v>4000</v>
      </c>
      <c r="J142" s="8">
        <f>IF(OR(A142&lt;Inputs!$B$15,H142&lt;=0),0,H142*Inputs!$B$13/12)</f>
        <v>483.0395609</v>
      </c>
      <c r="K142" s="95">
        <f>IF(OR(A142&lt;Inputs!$B$15,H142&lt;=0),0,MIN(Financing!$C$10,H142+J142))</f>
        <v>16881.22078</v>
      </c>
      <c r="L142" s="95">
        <f t="shared" si="78"/>
        <v>20881.22078</v>
      </c>
      <c r="M142" s="8">
        <f t="shared" si="89"/>
        <v>0</v>
      </c>
      <c r="N142" s="8">
        <f t="shared" si="90"/>
        <v>5000</v>
      </c>
      <c r="O142" s="8">
        <f t="shared" si="91"/>
        <v>5000</v>
      </c>
      <c r="P142" s="8">
        <f t="shared" si="79"/>
        <v>12000</v>
      </c>
      <c r="Q142" s="95">
        <f>D142-J142-IF(C142=0,0,Inputs!$B$18)-P142</f>
        <v>61440.97739</v>
      </c>
      <c r="R142" s="8">
        <f>MAX(0,Q142-M142)*Inputs!$B$17</f>
        <v>14131.4248</v>
      </c>
      <c r="S142" s="8">
        <f t="shared" si="80"/>
        <v>0</v>
      </c>
      <c r="T142" s="95">
        <f t="shared" si="81"/>
        <v>248480.4926</v>
      </c>
      <c r="U142" s="8">
        <f>IF(AND(Inputs!$B$79=1,B142="OPEN",A142&gt;=Inputs!$B$82,C142&gt;=$C$10,MOD(C142-$C$10,$C$9)=0),MIN(MAX(0,T142-$C$8)*Inputs!$B$81,MAX(0,H142+J142-K142)),0)</f>
        <v>0</v>
      </c>
      <c r="V142" s="8">
        <f>IF(AND(Inputs!$B$79=1,B142="OPEN",A142&gt;=Inputs!$B$82,C142&gt;=$C$10,MOD(C142-$C$10,$C$9)=0),MIN(MAX(0,MAX(0,T142-$C$8)*Inputs!$B$81-U142),MAX(0,G142-I142)),0)</f>
        <v>0</v>
      </c>
      <c r="W142" s="8">
        <f t="shared" si="82"/>
        <v>120000</v>
      </c>
      <c r="X142" s="8">
        <f t="shared" si="83"/>
        <v>105632.8657</v>
      </c>
      <c r="Y142" s="8">
        <f t="shared" si="84"/>
        <v>225632.8657</v>
      </c>
      <c r="Z142" s="95">
        <f t="shared" si="85"/>
        <v>248480.4926</v>
      </c>
    </row>
    <row r="143">
      <c r="A143" s="8">
        <f t="shared" si="86"/>
        <v>42</v>
      </c>
      <c r="B143" s="96" t="str">
        <f t="array" ref="B143">INDEX('Monthly Base'!$B$5:$B$67,A143+1)</f>
        <v>OPEN</v>
      </c>
      <c r="C143" s="96">
        <f t="array" ref="C143">INDEX('Monthly Base'!$C$5:$C$67,A143+1)</f>
        <v>40</v>
      </c>
      <c r="D143" s="95">
        <f t="array" ref="D143">INDEX('Monthly Base'!$O$5:$O$67,A143+1)</f>
        <v>81859.57627</v>
      </c>
      <c r="E143" s="95">
        <f t="array" ref="E143">INDEX('Monthly Base'!$Y$5:$Y$67,A143+1)</f>
        <v>0</v>
      </c>
      <c r="F143" s="95">
        <f t="shared" si="87"/>
        <v>248480.4926</v>
      </c>
      <c r="G143" s="8">
        <f t="shared" ref="G143:H143" si="131">W142</f>
        <v>120000</v>
      </c>
      <c r="H143" s="8">
        <f t="shared" si="131"/>
        <v>105632.8657</v>
      </c>
      <c r="I143" s="95">
        <f>IF(OR(A143&lt;Inputs!$B$15,G143&lt;=0),0,MIN(Financing!$B$10,G143))</f>
        <v>4000</v>
      </c>
      <c r="J143" s="8">
        <f>IF(OR(A143&lt;Inputs!$B$15,H143&lt;=0),0,H143*Inputs!$B$13/12)</f>
        <v>418.1300936</v>
      </c>
      <c r="K143" s="95">
        <f>IF(OR(A143&lt;Inputs!$B$15,H143&lt;=0),0,MIN(Financing!$C$10,H143+J143))</f>
        <v>16881.22078</v>
      </c>
      <c r="L143" s="95">
        <f t="shared" si="78"/>
        <v>20881.22078</v>
      </c>
      <c r="M143" s="8">
        <f t="shared" si="89"/>
        <v>0</v>
      </c>
      <c r="N143" s="8">
        <f t="shared" si="90"/>
        <v>5000</v>
      </c>
      <c r="O143" s="8">
        <f t="shared" si="91"/>
        <v>5000</v>
      </c>
      <c r="P143" s="8">
        <f t="shared" si="79"/>
        <v>12000</v>
      </c>
      <c r="Q143" s="95">
        <f>D143-J143-IF(C143=0,0,Inputs!$B$18)-P143</f>
        <v>62628.44618</v>
      </c>
      <c r="R143" s="8">
        <f>MAX(0,Q143-M143)*Inputs!$B$17</f>
        <v>14404.54262</v>
      </c>
      <c r="S143" s="8">
        <f t="shared" si="80"/>
        <v>0</v>
      </c>
      <c r="T143" s="95">
        <f t="shared" si="81"/>
        <v>283054.3055</v>
      </c>
      <c r="U143" s="8">
        <f>IF(AND(Inputs!$B$79=1,B143="OPEN",A143&gt;=Inputs!$B$82,C143&gt;=$C$10,MOD(C143-$C$10,$C$9)=0),MIN(MAX(0,T143-$C$8)*Inputs!$B$81,MAX(0,H143+J143-K143)),0)</f>
        <v>0</v>
      </c>
      <c r="V143" s="8">
        <f>IF(AND(Inputs!$B$79=1,B143="OPEN",A143&gt;=Inputs!$B$82,C143&gt;=$C$10,MOD(C143-$C$10,$C$9)=0),MIN(MAX(0,MAX(0,T143-$C$8)*Inputs!$B$81-U143),MAX(0,G143-I143)),0)</f>
        <v>0</v>
      </c>
      <c r="W143" s="8">
        <f t="shared" si="82"/>
        <v>116000</v>
      </c>
      <c r="X143" s="8">
        <f t="shared" si="83"/>
        <v>89169.77506</v>
      </c>
      <c r="Y143" s="8">
        <f t="shared" si="84"/>
        <v>205169.7751</v>
      </c>
      <c r="Z143" s="95">
        <f t="shared" si="85"/>
        <v>283054.3055</v>
      </c>
    </row>
    <row r="144">
      <c r="A144" s="8">
        <f t="shared" si="86"/>
        <v>43</v>
      </c>
      <c r="B144" s="96" t="str">
        <f t="array" ref="B144">INDEX('Monthly Base'!$B$5:$B$67,A144+1)</f>
        <v>OPEN</v>
      </c>
      <c r="C144" s="96">
        <f t="array" ref="C144">INDEX('Monthly Base'!$C$5:$C$67,A144+1)</f>
        <v>41</v>
      </c>
      <c r="D144" s="95">
        <f t="array" ref="D144">INDEX('Monthly Base'!$O$5:$O$67,A144+1)</f>
        <v>82982.13559</v>
      </c>
      <c r="E144" s="95">
        <f t="array" ref="E144">INDEX('Monthly Base'!$Y$5:$Y$67,A144+1)</f>
        <v>0</v>
      </c>
      <c r="F144" s="95">
        <f t="shared" si="87"/>
        <v>283054.3055</v>
      </c>
      <c r="G144" s="8">
        <f t="shared" ref="G144:H144" si="132">W143</f>
        <v>116000</v>
      </c>
      <c r="H144" s="8">
        <f t="shared" si="132"/>
        <v>89169.77506</v>
      </c>
      <c r="I144" s="95">
        <f>IF(OR(A144&lt;Inputs!$B$15,G144&lt;=0),0,MIN(Financing!$B$10,G144))</f>
        <v>4000</v>
      </c>
      <c r="J144" s="8">
        <f>IF(OR(A144&lt;Inputs!$B$15,H144&lt;=0),0,H144*Inputs!$B$13/12)</f>
        <v>352.9636929</v>
      </c>
      <c r="K144" s="95">
        <f>IF(OR(A144&lt;Inputs!$B$15,H144&lt;=0),0,MIN(Financing!$C$10,H144+J144))</f>
        <v>16881.22078</v>
      </c>
      <c r="L144" s="95">
        <f t="shared" si="78"/>
        <v>20881.22078</v>
      </c>
      <c r="M144" s="8">
        <f t="shared" si="89"/>
        <v>0</v>
      </c>
      <c r="N144" s="8">
        <f t="shared" si="90"/>
        <v>5000</v>
      </c>
      <c r="O144" s="8">
        <f t="shared" si="91"/>
        <v>5000</v>
      </c>
      <c r="P144" s="8">
        <f t="shared" si="79"/>
        <v>12000</v>
      </c>
      <c r="Q144" s="95">
        <f>D144-J144-IF(C144=0,0,Inputs!$B$18)-P144</f>
        <v>63816.1719</v>
      </c>
      <c r="R144" s="8">
        <f>MAX(0,Q144-M144)*Inputs!$B$17</f>
        <v>14677.71954</v>
      </c>
      <c r="S144" s="8">
        <f t="shared" si="80"/>
        <v>0</v>
      </c>
      <c r="T144" s="95">
        <f t="shared" si="81"/>
        <v>318477.5008</v>
      </c>
      <c r="U144" s="8">
        <f>IF(AND(Inputs!$B$79=1,B144="OPEN",A144&gt;=Inputs!$B$82,C144&gt;=$C$10,MOD(C144-$C$10,$C$9)=0),MIN(MAX(0,T144-$C$8)*Inputs!$B$81,MAX(0,H144+J144-K144)),0)</f>
        <v>0</v>
      </c>
      <c r="V144" s="8">
        <f>IF(AND(Inputs!$B$79=1,B144="OPEN",A144&gt;=Inputs!$B$82,C144&gt;=$C$10,MOD(C144-$C$10,$C$9)=0),MIN(MAX(0,MAX(0,T144-$C$8)*Inputs!$B$81-U144),MAX(0,G144-I144)),0)</f>
        <v>0</v>
      </c>
      <c r="W144" s="8">
        <f t="shared" si="82"/>
        <v>112000</v>
      </c>
      <c r="X144" s="8">
        <f t="shared" si="83"/>
        <v>72641.51797</v>
      </c>
      <c r="Y144" s="8">
        <f t="shared" si="84"/>
        <v>184641.518</v>
      </c>
      <c r="Z144" s="95">
        <f t="shared" si="85"/>
        <v>318477.5008</v>
      </c>
    </row>
    <row r="145">
      <c r="A145" s="8">
        <f t="shared" si="86"/>
        <v>44</v>
      </c>
      <c r="B145" s="96" t="str">
        <f t="array" ref="B145">INDEX('Monthly Base'!$B$5:$B$67,A145+1)</f>
        <v>OPEN</v>
      </c>
      <c r="C145" s="96">
        <f t="array" ref="C145">INDEX('Monthly Base'!$C$5:$C$67,A145+1)</f>
        <v>42</v>
      </c>
      <c r="D145" s="95">
        <f t="array" ref="D145">INDEX('Monthly Base'!$O$5:$O$67,A145+1)</f>
        <v>84291.78814</v>
      </c>
      <c r="E145" s="95">
        <f t="array" ref="E145">INDEX('Monthly Base'!$Y$5:$Y$67,A145+1)</f>
        <v>0</v>
      </c>
      <c r="F145" s="95">
        <f t="shared" si="87"/>
        <v>318477.5008</v>
      </c>
      <c r="G145" s="8">
        <f t="shared" ref="G145:H145" si="133">W144</f>
        <v>112000</v>
      </c>
      <c r="H145" s="8">
        <f t="shared" si="133"/>
        <v>72641.51797</v>
      </c>
      <c r="I145" s="95">
        <f>IF(OR(A145&lt;Inputs!$B$15,G145&lt;=0),0,MIN(Financing!$B$10,G145))</f>
        <v>4000</v>
      </c>
      <c r="J145" s="8">
        <f>IF(OR(A145&lt;Inputs!$B$15,H145&lt;=0),0,H145*Inputs!$B$13/12)</f>
        <v>287.539342</v>
      </c>
      <c r="K145" s="95">
        <f>IF(OR(A145&lt;Inputs!$B$15,H145&lt;=0),0,MIN(Financing!$C$10,H145+J145))</f>
        <v>16881.22078</v>
      </c>
      <c r="L145" s="95">
        <f t="shared" si="78"/>
        <v>20881.22078</v>
      </c>
      <c r="M145" s="8">
        <f t="shared" si="89"/>
        <v>0</v>
      </c>
      <c r="N145" s="8">
        <f t="shared" si="90"/>
        <v>5000</v>
      </c>
      <c r="O145" s="8">
        <f t="shared" si="91"/>
        <v>5000</v>
      </c>
      <c r="P145" s="8">
        <f t="shared" si="79"/>
        <v>12000</v>
      </c>
      <c r="Q145" s="95">
        <f>D145-J145-IF(C145=0,0,Inputs!$B$18)-P145</f>
        <v>65191.24879</v>
      </c>
      <c r="R145" s="8">
        <f>MAX(0,Q145-M145)*Inputs!$B$17</f>
        <v>14993.98722</v>
      </c>
      <c r="S145" s="8">
        <f t="shared" si="80"/>
        <v>0</v>
      </c>
      <c r="T145" s="95">
        <f t="shared" si="81"/>
        <v>354894.0809</v>
      </c>
      <c r="U145" s="8">
        <f>IF(AND(Inputs!$B$79=1,B145="OPEN",A145&gt;=Inputs!$B$82,C145&gt;=$C$10,MOD(C145-$C$10,$C$9)=0),MIN(MAX(0,T145-$C$8)*Inputs!$B$81,MAX(0,H145+J145-K145)),0)</f>
        <v>56047.83653</v>
      </c>
      <c r="V145" s="8">
        <f>IF(AND(Inputs!$B$79=1,B145="OPEN",A145&gt;=Inputs!$B$82,C145&gt;=$C$10,MOD(C145-$C$10,$C$9)=0),MIN(MAX(0,MAX(0,T145-$C$8)*Inputs!$B$81-U145),MAX(0,G145-I145)),0)</f>
        <v>108000</v>
      </c>
      <c r="W145" s="8">
        <f t="shared" si="82"/>
        <v>0</v>
      </c>
      <c r="X145" s="8">
        <f t="shared" si="83"/>
        <v>0</v>
      </c>
      <c r="Y145" s="8">
        <f t="shared" si="84"/>
        <v>0</v>
      </c>
      <c r="Z145" s="95">
        <f t="shared" si="85"/>
        <v>190846.2444</v>
      </c>
    </row>
    <row r="146">
      <c r="A146" s="8">
        <f t="shared" si="86"/>
        <v>45</v>
      </c>
      <c r="B146" s="96" t="str">
        <f t="array" ref="B146">INDEX('Monthly Base'!$B$5:$B$67,A146+1)</f>
        <v>OPEN</v>
      </c>
      <c r="C146" s="96">
        <f t="array" ref="C146">INDEX('Monthly Base'!$C$5:$C$67,A146+1)</f>
        <v>43</v>
      </c>
      <c r="D146" s="95">
        <f t="array" ref="D146">INDEX('Monthly Base'!$O$5:$O$67,A146+1)</f>
        <v>85414.34746</v>
      </c>
      <c r="E146" s="95">
        <f t="array" ref="E146">INDEX('Monthly Base'!$Y$5:$Y$67,A146+1)</f>
        <v>0</v>
      </c>
      <c r="F146" s="95">
        <f t="shared" si="87"/>
        <v>190846.2444</v>
      </c>
      <c r="G146" s="8">
        <f t="shared" ref="G146:H146" si="134">W145</f>
        <v>0</v>
      </c>
      <c r="H146" s="8">
        <f t="shared" si="134"/>
        <v>0</v>
      </c>
      <c r="I146" s="8">
        <f>IF(OR(A146&lt;Inputs!$B$15,G146&lt;=0),0,MIN(Financing!$B$10,G146))</f>
        <v>0</v>
      </c>
      <c r="J146" s="8">
        <f>IF(OR(A146&lt;Inputs!$B$15,H146&lt;=0),0,H146*Inputs!$B$13/12)</f>
        <v>0</v>
      </c>
      <c r="K146" s="8">
        <f>IF(OR(A146&lt;Inputs!$B$15,H146&lt;=0),0,MIN(Financing!$C$10,H146+J146))</f>
        <v>0</v>
      </c>
      <c r="L146" s="8">
        <f t="shared" si="78"/>
        <v>0</v>
      </c>
      <c r="M146" s="8">
        <f t="shared" si="89"/>
        <v>0</v>
      </c>
      <c r="N146" s="8">
        <f t="shared" si="90"/>
        <v>10000</v>
      </c>
      <c r="O146" s="8">
        <f t="shared" si="91"/>
        <v>10000</v>
      </c>
      <c r="P146" s="8">
        <f t="shared" si="79"/>
        <v>24000</v>
      </c>
      <c r="Q146" s="95">
        <f>D146-J146-IF(C146=0,0,Inputs!$B$18)-P146</f>
        <v>54601.34746</v>
      </c>
      <c r="R146" s="8">
        <f>MAX(0,Q146-M146)*Inputs!$B$17</f>
        <v>12558.30992</v>
      </c>
      <c r="S146" s="8">
        <f t="shared" si="80"/>
        <v>0</v>
      </c>
      <c r="T146" s="95">
        <f t="shared" si="81"/>
        <v>239702.2819</v>
      </c>
      <c r="U146" s="8">
        <f>IF(AND(Inputs!$B$79=1,B146="OPEN",A146&gt;=Inputs!$B$82,C146&gt;=$C$10,MOD(C146-$C$10,$C$9)=0),MIN(MAX(0,T146-$C$8)*Inputs!$B$81,MAX(0,H146+J146-K146)),0)</f>
        <v>0</v>
      </c>
      <c r="V146" s="8">
        <f>IF(AND(Inputs!$B$79=1,B146="OPEN",A146&gt;=Inputs!$B$82,C146&gt;=$C$10,MOD(C146-$C$10,$C$9)=0),MIN(MAX(0,MAX(0,T146-$C$8)*Inputs!$B$81-U146),MAX(0,G146-I146)),0)</f>
        <v>0</v>
      </c>
      <c r="W146" s="8">
        <f t="shared" si="82"/>
        <v>0</v>
      </c>
      <c r="X146" s="8">
        <f t="shared" si="83"/>
        <v>0</v>
      </c>
      <c r="Y146" s="8">
        <f t="shared" si="84"/>
        <v>0</v>
      </c>
      <c r="Z146" s="95">
        <f t="shared" si="85"/>
        <v>239702.2819</v>
      </c>
    </row>
    <row r="147">
      <c r="A147" s="8">
        <f t="shared" si="86"/>
        <v>46</v>
      </c>
      <c r="B147" s="96" t="str">
        <f t="array" ref="B147">INDEX('Monthly Base'!$B$5:$B$67,A147+1)</f>
        <v>OPEN</v>
      </c>
      <c r="C147" s="96">
        <f t="array" ref="C147">INDEX('Monthly Base'!$C$5:$C$67,A147+1)</f>
        <v>44</v>
      </c>
      <c r="D147" s="95">
        <f t="array" ref="D147">INDEX('Monthly Base'!$O$5:$O$67,A147+1)</f>
        <v>86536.90678</v>
      </c>
      <c r="E147" s="95">
        <f t="array" ref="E147">INDEX('Monthly Base'!$Y$5:$Y$67,A147+1)</f>
        <v>0</v>
      </c>
      <c r="F147" s="95">
        <f t="shared" si="87"/>
        <v>239702.2819</v>
      </c>
      <c r="G147" s="8">
        <f t="shared" ref="G147:H147" si="135">W146</f>
        <v>0</v>
      </c>
      <c r="H147" s="8">
        <f t="shared" si="135"/>
        <v>0</v>
      </c>
      <c r="I147" s="8">
        <f>IF(OR(A147&lt;Inputs!$B$15,G147&lt;=0),0,MIN(Financing!$B$10,G147))</f>
        <v>0</v>
      </c>
      <c r="J147" s="8">
        <f>IF(OR(A147&lt;Inputs!$B$15,H147&lt;=0),0,H147*Inputs!$B$13/12)</f>
        <v>0</v>
      </c>
      <c r="K147" s="8">
        <f>IF(OR(A147&lt;Inputs!$B$15,H147&lt;=0),0,MIN(Financing!$C$10,H147+J147))</f>
        <v>0</v>
      </c>
      <c r="L147" s="8">
        <f t="shared" si="78"/>
        <v>0</v>
      </c>
      <c r="M147" s="8">
        <f t="shared" si="89"/>
        <v>0</v>
      </c>
      <c r="N147" s="8">
        <f t="shared" si="90"/>
        <v>10000</v>
      </c>
      <c r="O147" s="8">
        <f t="shared" si="91"/>
        <v>10000</v>
      </c>
      <c r="P147" s="8">
        <f t="shared" si="79"/>
        <v>24000</v>
      </c>
      <c r="Q147" s="95">
        <f>D147-J147-IF(C147=0,0,Inputs!$B$18)-P147</f>
        <v>55723.90678</v>
      </c>
      <c r="R147" s="8">
        <f>MAX(0,Q147-M147)*Inputs!$B$17</f>
        <v>12816.49856</v>
      </c>
      <c r="S147" s="8">
        <f t="shared" si="80"/>
        <v>0</v>
      </c>
      <c r="T147" s="95">
        <f t="shared" si="81"/>
        <v>289422.6901</v>
      </c>
      <c r="U147" s="8">
        <f>IF(AND(Inputs!$B$79=1,B147="OPEN",A147&gt;=Inputs!$B$82,C147&gt;=$C$10,MOD(C147-$C$10,$C$9)=0),MIN(MAX(0,T147-$C$8)*Inputs!$B$81,MAX(0,H147+J147-K147)),0)</f>
        <v>0</v>
      </c>
      <c r="V147" s="8">
        <f>IF(AND(Inputs!$B$79=1,B147="OPEN",A147&gt;=Inputs!$B$82,C147&gt;=$C$10,MOD(C147-$C$10,$C$9)=0),MIN(MAX(0,MAX(0,T147-$C$8)*Inputs!$B$81-U147),MAX(0,G147-I147)),0)</f>
        <v>0</v>
      </c>
      <c r="W147" s="8">
        <f t="shared" si="82"/>
        <v>0</v>
      </c>
      <c r="X147" s="8">
        <f t="shared" si="83"/>
        <v>0</v>
      </c>
      <c r="Y147" s="8">
        <f t="shared" si="84"/>
        <v>0</v>
      </c>
      <c r="Z147" s="95">
        <f t="shared" si="85"/>
        <v>289422.6901</v>
      </c>
    </row>
    <row r="148">
      <c r="A148" s="8">
        <f t="shared" si="86"/>
        <v>47</v>
      </c>
      <c r="B148" s="96" t="str">
        <f t="array" ref="B148">INDEX('Monthly Base'!$B$5:$B$67,A148+1)</f>
        <v>OPEN</v>
      </c>
      <c r="C148" s="96">
        <f t="array" ref="C148">INDEX('Monthly Base'!$C$5:$C$67,A148+1)</f>
        <v>45</v>
      </c>
      <c r="D148" s="95">
        <f t="array" ref="D148">INDEX('Monthly Base'!$O$5:$O$67,A148+1)</f>
        <v>87659.4661</v>
      </c>
      <c r="E148" s="95">
        <f t="array" ref="E148">INDEX('Monthly Base'!$Y$5:$Y$67,A148+1)</f>
        <v>0</v>
      </c>
      <c r="F148" s="95">
        <f t="shared" si="87"/>
        <v>289422.6901</v>
      </c>
      <c r="G148" s="8">
        <f t="shared" ref="G148:H148" si="136">W147</f>
        <v>0</v>
      </c>
      <c r="H148" s="8">
        <f t="shared" si="136"/>
        <v>0</v>
      </c>
      <c r="I148" s="8">
        <f>IF(OR(A148&lt;Inputs!$B$15,G148&lt;=0),0,MIN(Financing!$B$10,G148))</f>
        <v>0</v>
      </c>
      <c r="J148" s="8">
        <f>IF(OR(A148&lt;Inputs!$B$15,H148&lt;=0),0,H148*Inputs!$B$13/12)</f>
        <v>0</v>
      </c>
      <c r="K148" s="8">
        <f>IF(OR(A148&lt;Inputs!$B$15,H148&lt;=0),0,MIN(Financing!$C$10,H148+J148))</f>
        <v>0</v>
      </c>
      <c r="L148" s="8">
        <f t="shared" si="78"/>
        <v>0</v>
      </c>
      <c r="M148" s="8">
        <f t="shared" si="89"/>
        <v>0</v>
      </c>
      <c r="N148" s="8">
        <f t="shared" si="90"/>
        <v>10000</v>
      </c>
      <c r="O148" s="8">
        <f t="shared" si="91"/>
        <v>10000</v>
      </c>
      <c r="P148" s="8">
        <f t="shared" si="79"/>
        <v>24000</v>
      </c>
      <c r="Q148" s="95">
        <f>D148-J148-IF(C148=0,0,Inputs!$B$18)-P148</f>
        <v>56846.4661</v>
      </c>
      <c r="R148" s="8">
        <f>MAX(0,Q148-M148)*Inputs!$B$17</f>
        <v>13074.6872</v>
      </c>
      <c r="S148" s="8">
        <f t="shared" si="80"/>
        <v>0</v>
      </c>
      <c r="T148" s="95">
        <f t="shared" si="81"/>
        <v>340007.469</v>
      </c>
      <c r="U148" s="8">
        <f>IF(AND(Inputs!$B$79=1,B148="OPEN",A148&gt;=Inputs!$B$82,C148&gt;=$C$10,MOD(C148-$C$10,$C$9)=0),MIN(MAX(0,T148-$C$8)*Inputs!$B$81,MAX(0,H148+J148-K148)),0)</f>
        <v>0</v>
      </c>
      <c r="V148" s="8">
        <f>IF(AND(Inputs!$B$79=1,B148="OPEN",A148&gt;=Inputs!$B$82,C148&gt;=$C$10,MOD(C148-$C$10,$C$9)=0),MIN(MAX(0,MAX(0,T148-$C$8)*Inputs!$B$81-U148),MAX(0,G148-I148)),0)</f>
        <v>0</v>
      </c>
      <c r="W148" s="8">
        <f t="shared" si="82"/>
        <v>0</v>
      </c>
      <c r="X148" s="8">
        <f t="shared" si="83"/>
        <v>0</v>
      </c>
      <c r="Y148" s="8">
        <f t="shared" si="84"/>
        <v>0</v>
      </c>
      <c r="Z148" s="95">
        <f t="shared" si="85"/>
        <v>340007.469</v>
      </c>
    </row>
    <row r="149">
      <c r="A149" s="8">
        <f t="shared" si="86"/>
        <v>48</v>
      </c>
      <c r="B149" s="96" t="str">
        <f t="array" ref="B149">INDEX('Monthly Base'!$B$5:$B$67,A149+1)</f>
        <v>OPEN</v>
      </c>
      <c r="C149" s="96">
        <f t="array" ref="C149">INDEX('Monthly Base'!$C$5:$C$67,A149+1)</f>
        <v>46</v>
      </c>
      <c r="D149" s="95">
        <f t="array" ref="D149">INDEX('Monthly Base'!$O$5:$O$67,A149+1)</f>
        <v>88969.11864</v>
      </c>
      <c r="E149" s="95">
        <f t="array" ref="E149">INDEX('Monthly Base'!$Y$5:$Y$67,A149+1)</f>
        <v>0</v>
      </c>
      <c r="F149" s="95">
        <f t="shared" si="87"/>
        <v>340007.469</v>
      </c>
      <c r="G149" s="8">
        <f t="shared" ref="G149:H149" si="137">W148</f>
        <v>0</v>
      </c>
      <c r="H149" s="8">
        <f t="shared" si="137"/>
        <v>0</v>
      </c>
      <c r="I149" s="8">
        <f>IF(OR(A149&lt;Inputs!$B$15,G149&lt;=0),0,MIN(Financing!$B$10,G149))</f>
        <v>0</v>
      </c>
      <c r="J149" s="8">
        <f>IF(OR(A149&lt;Inputs!$B$15,H149&lt;=0),0,H149*Inputs!$B$13/12)</f>
        <v>0</v>
      </c>
      <c r="K149" s="8">
        <f>IF(OR(A149&lt;Inputs!$B$15,H149&lt;=0),0,MIN(Financing!$C$10,H149+J149))</f>
        <v>0</v>
      </c>
      <c r="L149" s="8">
        <f t="shared" si="78"/>
        <v>0</v>
      </c>
      <c r="M149" s="8">
        <f t="shared" si="89"/>
        <v>0</v>
      </c>
      <c r="N149" s="8">
        <f t="shared" si="90"/>
        <v>10000</v>
      </c>
      <c r="O149" s="8">
        <f t="shared" si="91"/>
        <v>10000</v>
      </c>
      <c r="P149" s="8">
        <f t="shared" si="79"/>
        <v>24000</v>
      </c>
      <c r="Q149" s="95">
        <f>D149-J149-IF(C149=0,0,Inputs!$B$18)-P149</f>
        <v>58156.11864</v>
      </c>
      <c r="R149" s="8">
        <f>MAX(0,Q149-M149)*Inputs!$B$17</f>
        <v>13375.90729</v>
      </c>
      <c r="S149" s="8">
        <f t="shared" si="80"/>
        <v>0</v>
      </c>
      <c r="T149" s="95">
        <f t="shared" si="81"/>
        <v>391600.6804</v>
      </c>
      <c r="U149" s="8">
        <f>IF(AND(Inputs!$B$79=1,B149="OPEN",A149&gt;=Inputs!$B$82,C149&gt;=$C$10,MOD(C149-$C$10,$C$9)=0),MIN(MAX(0,T149-$C$8)*Inputs!$B$81,MAX(0,H149+J149-K149)),0)</f>
        <v>0</v>
      </c>
      <c r="V149" s="8">
        <f>IF(AND(Inputs!$B$79=1,B149="OPEN",A149&gt;=Inputs!$B$82,C149&gt;=$C$10,MOD(C149-$C$10,$C$9)=0),MIN(MAX(0,MAX(0,T149-$C$8)*Inputs!$B$81-U149),MAX(0,G149-I149)),0)</f>
        <v>0</v>
      </c>
      <c r="W149" s="8">
        <f t="shared" si="82"/>
        <v>0</v>
      </c>
      <c r="X149" s="8">
        <f t="shared" si="83"/>
        <v>0</v>
      </c>
      <c r="Y149" s="8">
        <f t="shared" si="84"/>
        <v>0</v>
      </c>
      <c r="Z149" s="95">
        <f t="shared" si="85"/>
        <v>391600.6804</v>
      </c>
    </row>
    <row r="150">
      <c r="A150" s="8">
        <f t="shared" si="86"/>
        <v>49</v>
      </c>
      <c r="B150" s="96" t="str">
        <f t="array" ref="B150">INDEX('Monthly Base'!$B$5:$B$67,A150+1)</f>
        <v>OPEN</v>
      </c>
      <c r="C150" s="96">
        <f t="array" ref="C150">INDEX('Monthly Base'!$C$5:$C$67,A150+1)</f>
        <v>47</v>
      </c>
      <c r="D150" s="95">
        <f t="array" ref="D150">INDEX('Monthly Base'!$O$5:$O$67,A150+1)</f>
        <v>90091.67797</v>
      </c>
      <c r="E150" s="95">
        <f t="array" ref="E150">INDEX('Monthly Base'!$Y$5:$Y$67,A150+1)</f>
        <v>0</v>
      </c>
      <c r="F150" s="95">
        <f t="shared" si="87"/>
        <v>391600.6804</v>
      </c>
      <c r="G150" s="8">
        <f t="shared" ref="G150:H150" si="138">W149</f>
        <v>0</v>
      </c>
      <c r="H150" s="8">
        <f t="shared" si="138"/>
        <v>0</v>
      </c>
      <c r="I150" s="8">
        <f>IF(OR(A150&lt;Inputs!$B$15,G150&lt;=0),0,MIN(Financing!$B$10,G150))</f>
        <v>0</v>
      </c>
      <c r="J150" s="8">
        <f>IF(OR(A150&lt;Inputs!$B$15,H150&lt;=0),0,H150*Inputs!$B$13/12)</f>
        <v>0</v>
      </c>
      <c r="K150" s="8">
        <f>IF(OR(A150&lt;Inputs!$B$15,H150&lt;=0),0,MIN(Financing!$C$10,H150+J150))</f>
        <v>0</v>
      </c>
      <c r="L150" s="8">
        <f t="shared" si="78"/>
        <v>0</v>
      </c>
      <c r="M150" s="8">
        <f t="shared" si="89"/>
        <v>0</v>
      </c>
      <c r="N150" s="8">
        <f t="shared" si="90"/>
        <v>10000</v>
      </c>
      <c r="O150" s="8">
        <f t="shared" si="91"/>
        <v>10000</v>
      </c>
      <c r="P150" s="8">
        <f t="shared" si="79"/>
        <v>24000</v>
      </c>
      <c r="Q150" s="95">
        <f>D150-J150-IF(C150=0,0,Inputs!$B$18)-P150</f>
        <v>59278.67797</v>
      </c>
      <c r="R150" s="8">
        <f>MAX(0,Q150-M150)*Inputs!$B$17</f>
        <v>13634.09593</v>
      </c>
      <c r="S150" s="8">
        <f t="shared" si="80"/>
        <v>0</v>
      </c>
      <c r="T150" s="95">
        <f t="shared" si="81"/>
        <v>444058.2624</v>
      </c>
      <c r="U150" s="8">
        <f>IF(AND(Inputs!$B$79=1,B150="OPEN",A150&gt;=Inputs!$B$82,C150&gt;=$C$10,MOD(C150-$C$10,$C$9)=0),MIN(MAX(0,T150-$C$8)*Inputs!$B$81,MAX(0,H150+J150-K150)),0)</f>
        <v>0</v>
      </c>
      <c r="V150" s="8">
        <f>IF(AND(Inputs!$B$79=1,B150="OPEN",A150&gt;=Inputs!$B$82,C150&gt;=$C$10,MOD(C150-$C$10,$C$9)=0),MIN(MAX(0,MAX(0,T150-$C$8)*Inputs!$B$81-U150),MAX(0,G150-I150)),0)</f>
        <v>0</v>
      </c>
      <c r="W150" s="8">
        <f t="shared" si="82"/>
        <v>0</v>
      </c>
      <c r="X150" s="8">
        <f t="shared" si="83"/>
        <v>0</v>
      </c>
      <c r="Y150" s="8">
        <f t="shared" si="84"/>
        <v>0</v>
      </c>
      <c r="Z150" s="95">
        <f t="shared" si="85"/>
        <v>444058.2624</v>
      </c>
    </row>
    <row r="151">
      <c r="A151" s="8">
        <f t="shared" si="86"/>
        <v>50</v>
      </c>
      <c r="B151" s="96" t="str">
        <f t="array" ref="B151">INDEX('Monthly Base'!$B$5:$B$67,A151+1)</f>
        <v>OPEN</v>
      </c>
      <c r="C151" s="96">
        <f t="array" ref="C151">INDEX('Monthly Base'!$C$5:$C$67,A151+1)</f>
        <v>48</v>
      </c>
      <c r="D151" s="95">
        <f t="array" ref="D151">INDEX('Monthly Base'!$O$5:$O$67,A151+1)</f>
        <v>91214.23729</v>
      </c>
      <c r="E151" s="95">
        <f t="array" ref="E151">INDEX('Monthly Base'!$Y$5:$Y$67,A151+1)</f>
        <v>0</v>
      </c>
      <c r="F151" s="95">
        <f t="shared" si="87"/>
        <v>444058.2624</v>
      </c>
      <c r="G151" s="8">
        <f t="shared" ref="G151:H151" si="139">W150</f>
        <v>0</v>
      </c>
      <c r="H151" s="8">
        <f t="shared" si="139"/>
        <v>0</v>
      </c>
      <c r="I151" s="8">
        <f>IF(OR(A151&lt;Inputs!$B$15,G151&lt;=0),0,MIN(Financing!$B$10,G151))</f>
        <v>0</v>
      </c>
      <c r="J151" s="8">
        <f>IF(OR(A151&lt;Inputs!$B$15,H151&lt;=0),0,H151*Inputs!$B$13/12)</f>
        <v>0</v>
      </c>
      <c r="K151" s="8">
        <f>IF(OR(A151&lt;Inputs!$B$15,H151&lt;=0),0,MIN(Financing!$C$10,H151+J151))</f>
        <v>0</v>
      </c>
      <c r="L151" s="8">
        <f t="shared" si="78"/>
        <v>0</v>
      </c>
      <c r="M151" s="8">
        <f t="shared" si="89"/>
        <v>0</v>
      </c>
      <c r="N151" s="8">
        <f t="shared" si="90"/>
        <v>10000</v>
      </c>
      <c r="O151" s="8">
        <f t="shared" si="91"/>
        <v>10000</v>
      </c>
      <c r="P151" s="8">
        <f t="shared" si="79"/>
        <v>24000</v>
      </c>
      <c r="Q151" s="95">
        <f>D151-J151-IF(C151=0,0,Inputs!$B$18)-P151</f>
        <v>60401.23729</v>
      </c>
      <c r="R151" s="8">
        <f>MAX(0,Q151-M151)*Inputs!$B$17</f>
        <v>13892.28458</v>
      </c>
      <c r="S151" s="8">
        <f t="shared" si="80"/>
        <v>0</v>
      </c>
      <c r="T151" s="95">
        <f t="shared" si="81"/>
        <v>497380.2151</v>
      </c>
      <c r="U151" s="8">
        <f>IF(AND(Inputs!$B$79=1,B151="OPEN",A151&gt;=Inputs!$B$82,C151&gt;=$C$10,MOD(C151-$C$10,$C$9)=0),MIN(MAX(0,T151-$C$8)*Inputs!$B$81,MAX(0,H151+J151-K151)),0)</f>
        <v>0</v>
      </c>
      <c r="V151" s="8">
        <f>IF(AND(Inputs!$B$79=1,B151="OPEN",A151&gt;=Inputs!$B$82,C151&gt;=$C$10,MOD(C151-$C$10,$C$9)=0),MIN(MAX(0,MAX(0,T151-$C$8)*Inputs!$B$81-U151),MAX(0,G151-I151)),0)</f>
        <v>0</v>
      </c>
      <c r="W151" s="8">
        <f t="shared" si="82"/>
        <v>0</v>
      </c>
      <c r="X151" s="8">
        <f t="shared" si="83"/>
        <v>0</v>
      </c>
      <c r="Y151" s="8">
        <f t="shared" si="84"/>
        <v>0</v>
      </c>
      <c r="Z151" s="95">
        <f t="shared" si="85"/>
        <v>497380.2151</v>
      </c>
    </row>
    <row r="152">
      <c r="A152" s="8">
        <f t="shared" si="86"/>
        <v>51</v>
      </c>
      <c r="B152" s="96" t="str">
        <f t="array" ref="B152">INDEX('Monthly Base'!$B$5:$B$67,A152+1)</f>
        <v>OPEN</v>
      </c>
      <c r="C152" s="96">
        <f t="array" ref="C152">INDEX('Monthly Base'!$C$5:$C$67,A152+1)</f>
        <v>49</v>
      </c>
      <c r="D152" s="95">
        <f t="array" ref="D152">INDEX('Monthly Base'!$O$5:$O$67,A152+1)</f>
        <v>91962.61017</v>
      </c>
      <c r="E152" s="95">
        <f t="array" ref="E152">INDEX('Monthly Base'!$Y$5:$Y$67,A152+1)</f>
        <v>0</v>
      </c>
      <c r="F152" s="95">
        <f t="shared" si="87"/>
        <v>497380.2151</v>
      </c>
      <c r="G152" s="8">
        <f t="shared" ref="G152:H152" si="140">W151</f>
        <v>0</v>
      </c>
      <c r="H152" s="8">
        <f t="shared" si="140"/>
        <v>0</v>
      </c>
      <c r="I152" s="8">
        <f>IF(OR(A152&lt;Inputs!$B$15,G152&lt;=0),0,MIN(Financing!$B$10,G152))</f>
        <v>0</v>
      </c>
      <c r="J152" s="8">
        <f>IF(OR(A152&lt;Inputs!$B$15,H152&lt;=0),0,H152*Inputs!$B$13/12)</f>
        <v>0</v>
      </c>
      <c r="K152" s="8">
        <f>IF(OR(A152&lt;Inputs!$B$15,H152&lt;=0),0,MIN(Financing!$C$10,H152+J152))</f>
        <v>0</v>
      </c>
      <c r="L152" s="8">
        <f t="shared" si="78"/>
        <v>0</v>
      </c>
      <c r="M152" s="8">
        <f t="shared" si="89"/>
        <v>0</v>
      </c>
      <c r="N152" s="8">
        <f t="shared" si="90"/>
        <v>10000</v>
      </c>
      <c r="O152" s="8">
        <f t="shared" si="91"/>
        <v>10000</v>
      </c>
      <c r="P152" s="8">
        <f t="shared" si="79"/>
        <v>24000</v>
      </c>
      <c r="Q152" s="95">
        <f>D152-J152-IF(C152=0,0,Inputs!$B$18)-P152</f>
        <v>61149.61017</v>
      </c>
      <c r="R152" s="8">
        <f>MAX(0,Q152-M152)*Inputs!$B$17</f>
        <v>14064.41034</v>
      </c>
      <c r="S152" s="8">
        <f t="shared" si="80"/>
        <v>0</v>
      </c>
      <c r="T152" s="95">
        <f t="shared" si="81"/>
        <v>551278.4149</v>
      </c>
      <c r="U152" s="8">
        <f>IF(AND(Inputs!$B$79=1,B152="OPEN",A152&gt;=Inputs!$B$82,C152&gt;=$C$10,MOD(C152-$C$10,$C$9)=0),MIN(MAX(0,T152-$C$8)*Inputs!$B$81,MAX(0,H152+J152-K152)),0)</f>
        <v>0</v>
      </c>
      <c r="V152" s="8">
        <f>IF(AND(Inputs!$B$79=1,B152="OPEN",A152&gt;=Inputs!$B$82,C152&gt;=$C$10,MOD(C152-$C$10,$C$9)=0),MIN(MAX(0,MAX(0,T152-$C$8)*Inputs!$B$81-U152),MAX(0,G152-I152)),0)</f>
        <v>0</v>
      </c>
      <c r="W152" s="8">
        <f t="shared" si="82"/>
        <v>0</v>
      </c>
      <c r="X152" s="8">
        <f t="shared" si="83"/>
        <v>0</v>
      </c>
      <c r="Y152" s="8">
        <f t="shared" si="84"/>
        <v>0</v>
      </c>
      <c r="Z152" s="95">
        <f t="shared" si="85"/>
        <v>551278.4149</v>
      </c>
    </row>
    <row r="153">
      <c r="A153" s="8">
        <f t="shared" si="86"/>
        <v>52</v>
      </c>
      <c r="B153" s="96" t="str">
        <f t="array" ref="B153">INDEX('Monthly Base'!$B$5:$B$67,A153+1)</f>
        <v>OPEN</v>
      </c>
      <c r="C153" s="96">
        <f t="array" ref="C153">INDEX('Monthly Base'!$C$5:$C$67,A153+1)</f>
        <v>50</v>
      </c>
      <c r="D153" s="95">
        <f t="array" ref="D153">INDEX('Monthly Base'!$O$5:$O$67,A153+1)</f>
        <v>92710.98305</v>
      </c>
      <c r="E153" s="95">
        <f t="array" ref="E153">INDEX('Monthly Base'!$Y$5:$Y$67,A153+1)</f>
        <v>0</v>
      </c>
      <c r="F153" s="95">
        <f t="shared" si="87"/>
        <v>551278.4149</v>
      </c>
      <c r="G153" s="8">
        <f t="shared" ref="G153:H153" si="141">W152</f>
        <v>0</v>
      </c>
      <c r="H153" s="8">
        <f t="shared" si="141"/>
        <v>0</v>
      </c>
      <c r="I153" s="8">
        <f>IF(OR(A153&lt;Inputs!$B$15,G153&lt;=0),0,MIN(Financing!$B$10,G153))</f>
        <v>0</v>
      </c>
      <c r="J153" s="8">
        <f>IF(OR(A153&lt;Inputs!$B$15,H153&lt;=0),0,H153*Inputs!$B$13/12)</f>
        <v>0</v>
      </c>
      <c r="K153" s="8">
        <f>IF(OR(A153&lt;Inputs!$B$15,H153&lt;=0),0,MIN(Financing!$C$10,H153+J153))</f>
        <v>0</v>
      </c>
      <c r="L153" s="8">
        <f t="shared" si="78"/>
        <v>0</v>
      </c>
      <c r="M153" s="8">
        <f t="shared" si="89"/>
        <v>0</v>
      </c>
      <c r="N153" s="8">
        <f t="shared" si="90"/>
        <v>10000</v>
      </c>
      <c r="O153" s="8">
        <f t="shared" si="91"/>
        <v>10000</v>
      </c>
      <c r="P153" s="8">
        <f t="shared" si="79"/>
        <v>24000</v>
      </c>
      <c r="Q153" s="95">
        <f>D153-J153-IF(C153=0,0,Inputs!$B$18)-P153</f>
        <v>61897.98305</v>
      </c>
      <c r="R153" s="8">
        <f>MAX(0,Q153-M153)*Inputs!$B$17</f>
        <v>14236.5361</v>
      </c>
      <c r="S153" s="8">
        <f t="shared" si="80"/>
        <v>0</v>
      </c>
      <c r="T153" s="95">
        <f t="shared" si="81"/>
        <v>605752.8619</v>
      </c>
      <c r="U153" s="8">
        <f>IF(AND(Inputs!$B$79=1,B153="OPEN",A153&gt;=Inputs!$B$82,C153&gt;=$C$10,MOD(C153-$C$10,$C$9)=0),MIN(MAX(0,T153-$C$8)*Inputs!$B$81,MAX(0,H153+J153-K153)),0)</f>
        <v>0</v>
      </c>
      <c r="V153" s="8">
        <f>IF(AND(Inputs!$B$79=1,B153="OPEN",A153&gt;=Inputs!$B$82,C153&gt;=$C$10,MOD(C153-$C$10,$C$9)=0),MIN(MAX(0,MAX(0,T153-$C$8)*Inputs!$B$81-U153),MAX(0,G153-I153)),0)</f>
        <v>0</v>
      </c>
      <c r="W153" s="8">
        <f t="shared" si="82"/>
        <v>0</v>
      </c>
      <c r="X153" s="8">
        <f t="shared" si="83"/>
        <v>0</v>
      </c>
      <c r="Y153" s="8">
        <f t="shared" si="84"/>
        <v>0</v>
      </c>
      <c r="Z153" s="95">
        <f t="shared" si="85"/>
        <v>605752.8619</v>
      </c>
    </row>
    <row r="154">
      <c r="A154" s="8">
        <f t="shared" si="86"/>
        <v>53</v>
      </c>
      <c r="B154" s="96" t="str">
        <f t="array" ref="B154">INDEX('Monthly Base'!$B$5:$B$67,A154+1)</f>
        <v>OPEN</v>
      </c>
      <c r="C154" s="96">
        <f t="array" ref="C154">INDEX('Monthly Base'!$C$5:$C$67,A154+1)</f>
        <v>51</v>
      </c>
      <c r="D154" s="95">
        <f t="array" ref="D154">INDEX('Monthly Base'!$O$5:$O$67,A154+1)</f>
        <v>93646.44915</v>
      </c>
      <c r="E154" s="95">
        <f t="array" ref="E154">INDEX('Monthly Base'!$Y$5:$Y$67,A154+1)</f>
        <v>0</v>
      </c>
      <c r="F154" s="95">
        <f t="shared" si="87"/>
        <v>605752.8619</v>
      </c>
      <c r="G154" s="8">
        <f t="shared" ref="G154:H154" si="142">W153</f>
        <v>0</v>
      </c>
      <c r="H154" s="8">
        <f t="shared" si="142"/>
        <v>0</v>
      </c>
      <c r="I154" s="8">
        <f>IF(OR(A154&lt;Inputs!$B$15,G154&lt;=0),0,MIN(Financing!$B$10,G154))</f>
        <v>0</v>
      </c>
      <c r="J154" s="8">
        <f>IF(OR(A154&lt;Inputs!$B$15,H154&lt;=0),0,H154*Inputs!$B$13/12)</f>
        <v>0</v>
      </c>
      <c r="K154" s="8">
        <f>IF(OR(A154&lt;Inputs!$B$15,H154&lt;=0),0,MIN(Financing!$C$10,H154+J154))</f>
        <v>0</v>
      </c>
      <c r="L154" s="8">
        <f t="shared" si="78"/>
        <v>0</v>
      </c>
      <c r="M154" s="8">
        <f t="shared" si="89"/>
        <v>0</v>
      </c>
      <c r="N154" s="8">
        <f t="shared" si="90"/>
        <v>10000</v>
      </c>
      <c r="O154" s="8">
        <f t="shared" si="91"/>
        <v>10000</v>
      </c>
      <c r="P154" s="8">
        <f t="shared" si="79"/>
        <v>24000</v>
      </c>
      <c r="Q154" s="95">
        <f>D154-J154-IF(C154=0,0,Inputs!$B$18)-P154</f>
        <v>62833.44915</v>
      </c>
      <c r="R154" s="8">
        <f>MAX(0,Q154-M154)*Inputs!$B$17</f>
        <v>14451.69331</v>
      </c>
      <c r="S154" s="8">
        <f t="shared" si="80"/>
        <v>0</v>
      </c>
      <c r="T154" s="95">
        <f t="shared" si="81"/>
        <v>660947.6177</v>
      </c>
      <c r="U154" s="8">
        <f>IF(AND(Inputs!$B$79=1,B154="OPEN",A154&gt;=Inputs!$B$82,C154&gt;=$C$10,MOD(C154-$C$10,$C$9)=0),MIN(MAX(0,T154-$C$8)*Inputs!$B$81,MAX(0,H154+J154-K154)),0)</f>
        <v>0</v>
      </c>
      <c r="V154" s="8">
        <f>IF(AND(Inputs!$B$79=1,B154="OPEN",A154&gt;=Inputs!$B$82,C154&gt;=$C$10,MOD(C154-$C$10,$C$9)=0),MIN(MAX(0,MAX(0,T154-$C$8)*Inputs!$B$81-U154),MAX(0,G154-I154)),0)</f>
        <v>0</v>
      </c>
      <c r="W154" s="8">
        <f t="shared" si="82"/>
        <v>0</v>
      </c>
      <c r="X154" s="8">
        <f t="shared" si="83"/>
        <v>0</v>
      </c>
      <c r="Y154" s="8">
        <f t="shared" si="84"/>
        <v>0</v>
      </c>
      <c r="Z154" s="95">
        <f t="shared" si="85"/>
        <v>660947.6177</v>
      </c>
    </row>
    <row r="155">
      <c r="A155" s="8">
        <f t="shared" si="86"/>
        <v>54</v>
      </c>
      <c r="B155" s="96" t="str">
        <f t="array" ref="B155">INDEX('Monthly Base'!$B$5:$B$67,A155+1)</f>
        <v>OPEN</v>
      </c>
      <c r="C155" s="96">
        <f t="array" ref="C155">INDEX('Monthly Base'!$C$5:$C$67,A155+1)</f>
        <v>52</v>
      </c>
      <c r="D155" s="95">
        <f t="array" ref="D155">INDEX('Monthly Base'!$O$5:$O$67,A155+1)</f>
        <v>94394.82203</v>
      </c>
      <c r="E155" s="95">
        <f t="array" ref="E155">INDEX('Monthly Base'!$Y$5:$Y$67,A155+1)</f>
        <v>0</v>
      </c>
      <c r="F155" s="95">
        <f t="shared" si="87"/>
        <v>660947.6177</v>
      </c>
      <c r="G155" s="8">
        <f t="shared" ref="G155:H155" si="143">W154</f>
        <v>0</v>
      </c>
      <c r="H155" s="8">
        <f t="shared" si="143"/>
        <v>0</v>
      </c>
      <c r="I155" s="8">
        <f>IF(OR(A155&lt;Inputs!$B$15,G155&lt;=0),0,MIN(Financing!$B$10,G155))</f>
        <v>0</v>
      </c>
      <c r="J155" s="8">
        <f>IF(OR(A155&lt;Inputs!$B$15,H155&lt;=0),0,H155*Inputs!$B$13/12)</f>
        <v>0</v>
      </c>
      <c r="K155" s="8">
        <f>IF(OR(A155&lt;Inputs!$B$15,H155&lt;=0),0,MIN(Financing!$C$10,H155+J155))</f>
        <v>0</v>
      </c>
      <c r="L155" s="8">
        <f t="shared" si="78"/>
        <v>0</v>
      </c>
      <c r="M155" s="8">
        <f t="shared" si="89"/>
        <v>0</v>
      </c>
      <c r="N155" s="8">
        <f t="shared" si="90"/>
        <v>10000</v>
      </c>
      <c r="O155" s="8">
        <f t="shared" si="91"/>
        <v>10000</v>
      </c>
      <c r="P155" s="8">
        <f t="shared" si="79"/>
        <v>24000</v>
      </c>
      <c r="Q155" s="95">
        <f>D155-J155-IF(C155=0,0,Inputs!$B$18)-P155</f>
        <v>63581.82203</v>
      </c>
      <c r="R155" s="8">
        <f>MAX(0,Q155-M155)*Inputs!$B$17</f>
        <v>14623.81907</v>
      </c>
      <c r="S155" s="8">
        <f t="shared" si="80"/>
        <v>0</v>
      </c>
      <c r="T155" s="95">
        <f t="shared" si="81"/>
        <v>716718.6207</v>
      </c>
      <c r="U155" s="8">
        <f>IF(AND(Inputs!$B$79=1,B155="OPEN",A155&gt;=Inputs!$B$82,C155&gt;=$C$10,MOD(C155-$C$10,$C$9)=0),MIN(MAX(0,T155-$C$8)*Inputs!$B$81,MAX(0,H155+J155-K155)),0)</f>
        <v>0</v>
      </c>
      <c r="V155" s="8">
        <f>IF(AND(Inputs!$B$79=1,B155="OPEN",A155&gt;=Inputs!$B$82,C155&gt;=$C$10,MOD(C155-$C$10,$C$9)=0),MIN(MAX(0,MAX(0,T155-$C$8)*Inputs!$B$81-U155),MAX(0,G155-I155)),0)</f>
        <v>0</v>
      </c>
      <c r="W155" s="8">
        <f t="shared" si="82"/>
        <v>0</v>
      </c>
      <c r="X155" s="8">
        <f t="shared" si="83"/>
        <v>0</v>
      </c>
      <c r="Y155" s="8">
        <f t="shared" si="84"/>
        <v>0</v>
      </c>
      <c r="Z155" s="95">
        <f t="shared" si="85"/>
        <v>716718.6207</v>
      </c>
    </row>
    <row r="156">
      <c r="A156" s="8">
        <f t="shared" si="86"/>
        <v>55</v>
      </c>
      <c r="B156" s="96" t="str">
        <f t="array" ref="B156">INDEX('Monthly Base'!$B$5:$B$67,A156+1)</f>
        <v>OPEN</v>
      </c>
      <c r="C156" s="96">
        <f t="array" ref="C156">INDEX('Monthly Base'!$C$5:$C$67,A156+1)</f>
        <v>53</v>
      </c>
      <c r="D156" s="95">
        <f t="array" ref="D156">INDEX('Monthly Base'!$O$5:$O$67,A156+1)</f>
        <v>95143.19492</v>
      </c>
      <c r="E156" s="95">
        <f t="array" ref="E156">INDEX('Monthly Base'!$Y$5:$Y$67,A156+1)</f>
        <v>0</v>
      </c>
      <c r="F156" s="95">
        <f t="shared" si="87"/>
        <v>716718.6207</v>
      </c>
      <c r="G156" s="8">
        <f t="shared" ref="G156:H156" si="144">W155</f>
        <v>0</v>
      </c>
      <c r="H156" s="8">
        <f t="shared" si="144"/>
        <v>0</v>
      </c>
      <c r="I156" s="8">
        <f>IF(OR(A156&lt;Inputs!$B$15,G156&lt;=0),0,MIN(Financing!$B$10,G156))</f>
        <v>0</v>
      </c>
      <c r="J156" s="8">
        <f>IF(OR(A156&lt;Inputs!$B$15,H156&lt;=0),0,H156*Inputs!$B$13/12)</f>
        <v>0</v>
      </c>
      <c r="K156" s="8">
        <f>IF(OR(A156&lt;Inputs!$B$15,H156&lt;=0),0,MIN(Financing!$C$10,H156+J156))</f>
        <v>0</v>
      </c>
      <c r="L156" s="8">
        <f t="shared" si="78"/>
        <v>0</v>
      </c>
      <c r="M156" s="8">
        <f t="shared" si="89"/>
        <v>0</v>
      </c>
      <c r="N156" s="8">
        <f t="shared" si="90"/>
        <v>10000</v>
      </c>
      <c r="O156" s="8">
        <f t="shared" si="91"/>
        <v>10000</v>
      </c>
      <c r="P156" s="8">
        <f t="shared" si="79"/>
        <v>24000</v>
      </c>
      <c r="Q156" s="95">
        <f>D156-J156-IF(C156=0,0,Inputs!$B$18)-P156</f>
        <v>64330.19492</v>
      </c>
      <c r="R156" s="8">
        <f>MAX(0,Q156-M156)*Inputs!$B$17</f>
        <v>14795.94483</v>
      </c>
      <c r="S156" s="8">
        <f t="shared" si="80"/>
        <v>0</v>
      </c>
      <c r="T156" s="95">
        <f t="shared" si="81"/>
        <v>773065.8708</v>
      </c>
      <c r="U156" s="8">
        <f>IF(AND(Inputs!$B$79=1,B156="OPEN",A156&gt;=Inputs!$B$82,C156&gt;=$C$10,MOD(C156-$C$10,$C$9)=0),MIN(MAX(0,T156-$C$8)*Inputs!$B$81,MAX(0,H156+J156-K156)),0)</f>
        <v>0</v>
      </c>
      <c r="V156" s="8">
        <f>IF(AND(Inputs!$B$79=1,B156="OPEN",A156&gt;=Inputs!$B$82,C156&gt;=$C$10,MOD(C156-$C$10,$C$9)=0),MIN(MAX(0,MAX(0,T156-$C$8)*Inputs!$B$81-U156),MAX(0,G156-I156)),0)</f>
        <v>0</v>
      </c>
      <c r="W156" s="8">
        <f t="shared" si="82"/>
        <v>0</v>
      </c>
      <c r="X156" s="8">
        <f t="shared" si="83"/>
        <v>0</v>
      </c>
      <c r="Y156" s="8">
        <f t="shared" si="84"/>
        <v>0</v>
      </c>
      <c r="Z156" s="95">
        <f t="shared" si="85"/>
        <v>773065.8708</v>
      </c>
    </row>
    <row r="157">
      <c r="A157" s="8">
        <f t="shared" si="86"/>
        <v>56</v>
      </c>
      <c r="B157" s="96" t="str">
        <f t="array" ref="B157">INDEX('Monthly Base'!$B$5:$B$67,A157+1)</f>
        <v>OPEN</v>
      </c>
      <c r="C157" s="96">
        <f t="array" ref="C157">INDEX('Monthly Base'!$C$5:$C$67,A157+1)</f>
        <v>54</v>
      </c>
      <c r="D157" s="95">
        <f t="array" ref="D157">INDEX('Monthly Base'!$O$5:$O$67,A157+1)</f>
        <v>95891.5678</v>
      </c>
      <c r="E157" s="95">
        <f t="array" ref="E157">INDEX('Monthly Base'!$Y$5:$Y$67,A157+1)</f>
        <v>0</v>
      </c>
      <c r="F157" s="95">
        <f t="shared" si="87"/>
        <v>773065.8708</v>
      </c>
      <c r="G157" s="8">
        <f t="shared" ref="G157:H157" si="145">W156</f>
        <v>0</v>
      </c>
      <c r="H157" s="8">
        <f t="shared" si="145"/>
        <v>0</v>
      </c>
      <c r="I157" s="8">
        <f>IF(OR(A157&lt;Inputs!$B$15,G157&lt;=0),0,MIN(Financing!$B$10,G157))</f>
        <v>0</v>
      </c>
      <c r="J157" s="8">
        <f>IF(OR(A157&lt;Inputs!$B$15,H157&lt;=0),0,H157*Inputs!$B$13/12)</f>
        <v>0</v>
      </c>
      <c r="K157" s="8">
        <f>IF(OR(A157&lt;Inputs!$B$15,H157&lt;=0),0,MIN(Financing!$C$10,H157+J157))</f>
        <v>0</v>
      </c>
      <c r="L157" s="8">
        <f t="shared" si="78"/>
        <v>0</v>
      </c>
      <c r="M157" s="8">
        <f t="shared" si="89"/>
        <v>0</v>
      </c>
      <c r="N157" s="8">
        <f t="shared" si="90"/>
        <v>10000</v>
      </c>
      <c r="O157" s="8">
        <f t="shared" si="91"/>
        <v>10000</v>
      </c>
      <c r="P157" s="8">
        <f t="shared" si="79"/>
        <v>24000</v>
      </c>
      <c r="Q157" s="95">
        <f>D157-J157-IF(C157=0,0,Inputs!$B$18)-P157</f>
        <v>65078.5678</v>
      </c>
      <c r="R157" s="8">
        <f>MAX(0,Q157-M157)*Inputs!$B$17</f>
        <v>14968.07059</v>
      </c>
      <c r="S157" s="8">
        <f t="shared" si="80"/>
        <v>0</v>
      </c>
      <c r="T157" s="95">
        <f t="shared" si="81"/>
        <v>829989.368</v>
      </c>
      <c r="U157" s="8">
        <f>IF(AND(Inputs!$B$79=1,B157="OPEN",A157&gt;=Inputs!$B$82,C157&gt;=$C$10,MOD(C157-$C$10,$C$9)=0),MIN(MAX(0,T157-$C$8)*Inputs!$B$81,MAX(0,H157+J157-K157)),0)</f>
        <v>0</v>
      </c>
      <c r="V157" s="8">
        <f>IF(AND(Inputs!$B$79=1,B157="OPEN",A157&gt;=Inputs!$B$82,C157&gt;=$C$10,MOD(C157-$C$10,$C$9)=0),MIN(MAX(0,MAX(0,T157-$C$8)*Inputs!$B$81-U157),MAX(0,G157-I157)),0)</f>
        <v>0</v>
      </c>
      <c r="W157" s="8">
        <f t="shared" si="82"/>
        <v>0</v>
      </c>
      <c r="X157" s="8">
        <f t="shared" si="83"/>
        <v>0</v>
      </c>
      <c r="Y157" s="8">
        <f t="shared" si="84"/>
        <v>0</v>
      </c>
      <c r="Z157" s="95">
        <f t="shared" si="85"/>
        <v>829989.368</v>
      </c>
    </row>
    <row r="158">
      <c r="A158" s="8">
        <f t="shared" si="86"/>
        <v>57</v>
      </c>
      <c r="B158" s="96" t="str">
        <f t="array" ref="B158">INDEX('Monthly Base'!$B$5:$B$67,A158+1)</f>
        <v>OPEN</v>
      </c>
      <c r="C158" s="96">
        <f t="array" ref="C158">INDEX('Monthly Base'!$C$5:$C$67,A158+1)</f>
        <v>55</v>
      </c>
      <c r="D158" s="95">
        <f t="array" ref="D158">INDEX('Monthly Base'!$O$5:$O$67,A158+1)</f>
        <v>96639.94068</v>
      </c>
      <c r="E158" s="95">
        <f t="array" ref="E158">INDEX('Monthly Base'!$Y$5:$Y$67,A158+1)</f>
        <v>0</v>
      </c>
      <c r="F158" s="95">
        <f t="shared" si="87"/>
        <v>829989.368</v>
      </c>
      <c r="G158" s="8">
        <f t="shared" ref="G158:H158" si="146">W157</f>
        <v>0</v>
      </c>
      <c r="H158" s="8">
        <f t="shared" si="146"/>
        <v>0</v>
      </c>
      <c r="I158" s="8">
        <f>IF(OR(A158&lt;Inputs!$B$15,G158&lt;=0),0,MIN(Financing!$B$10,G158))</f>
        <v>0</v>
      </c>
      <c r="J158" s="8">
        <f>IF(OR(A158&lt;Inputs!$B$15,H158&lt;=0),0,H158*Inputs!$B$13/12)</f>
        <v>0</v>
      </c>
      <c r="K158" s="8">
        <f>IF(OR(A158&lt;Inputs!$B$15,H158&lt;=0),0,MIN(Financing!$C$10,H158+J158))</f>
        <v>0</v>
      </c>
      <c r="L158" s="8">
        <f t="shared" si="78"/>
        <v>0</v>
      </c>
      <c r="M158" s="8">
        <f t="shared" si="89"/>
        <v>0</v>
      </c>
      <c r="N158" s="8">
        <f t="shared" si="90"/>
        <v>10000</v>
      </c>
      <c r="O158" s="8">
        <f t="shared" si="91"/>
        <v>10000</v>
      </c>
      <c r="P158" s="8">
        <f t="shared" si="79"/>
        <v>24000</v>
      </c>
      <c r="Q158" s="95">
        <f>D158-J158-IF(C158=0,0,Inputs!$B$18)-P158</f>
        <v>65826.94068</v>
      </c>
      <c r="R158" s="8">
        <f>MAX(0,Q158-M158)*Inputs!$B$17</f>
        <v>15140.19636</v>
      </c>
      <c r="S158" s="8">
        <f t="shared" si="80"/>
        <v>0</v>
      </c>
      <c r="T158" s="95">
        <f t="shared" si="81"/>
        <v>887489.1123</v>
      </c>
      <c r="U158" s="8">
        <f>IF(AND(Inputs!$B$79=1,B158="OPEN",A158&gt;=Inputs!$B$82,C158&gt;=$C$10,MOD(C158-$C$10,$C$9)=0),MIN(MAX(0,T158-$C$8)*Inputs!$B$81,MAX(0,H158+J158-K158)),0)</f>
        <v>0</v>
      </c>
      <c r="V158" s="8">
        <f>IF(AND(Inputs!$B$79=1,B158="OPEN",A158&gt;=Inputs!$B$82,C158&gt;=$C$10,MOD(C158-$C$10,$C$9)=0),MIN(MAX(0,MAX(0,T158-$C$8)*Inputs!$B$81-U158),MAX(0,G158-I158)),0)</f>
        <v>0</v>
      </c>
      <c r="W158" s="8">
        <f t="shared" si="82"/>
        <v>0</v>
      </c>
      <c r="X158" s="8">
        <f t="shared" si="83"/>
        <v>0</v>
      </c>
      <c r="Y158" s="8">
        <f t="shared" si="84"/>
        <v>0</v>
      </c>
      <c r="Z158" s="95">
        <f t="shared" si="85"/>
        <v>887489.1123</v>
      </c>
    </row>
    <row r="159">
      <c r="A159" s="8">
        <f t="shared" si="86"/>
        <v>58</v>
      </c>
      <c r="B159" s="96" t="str">
        <f t="array" ref="B159">INDEX('Monthly Base'!$B$5:$B$67,A159+1)</f>
        <v>OPEN</v>
      </c>
      <c r="C159" s="96">
        <f t="array" ref="C159">INDEX('Monthly Base'!$C$5:$C$67,A159+1)</f>
        <v>56</v>
      </c>
      <c r="D159" s="95">
        <f t="array" ref="D159">INDEX('Monthly Base'!$O$5:$O$67,A159+1)</f>
        <v>97388.31356</v>
      </c>
      <c r="E159" s="95">
        <f t="array" ref="E159">INDEX('Monthly Base'!$Y$5:$Y$67,A159+1)</f>
        <v>0</v>
      </c>
      <c r="F159" s="95">
        <f t="shared" si="87"/>
        <v>887489.1123</v>
      </c>
      <c r="G159" s="8">
        <f t="shared" ref="G159:H159" si="147">W158</f>
        <v>0</v>
      </c>
      <c r="H159" s="8">
        <f t="shared" si="147"/>
        <v>0</v>
      </c>
      <c r="I159" s="8">
        <f>IF(OR(A159&lt;Inputs!$B$15,G159&lt;=0),0,MIN(Financing!$B$10,G159))</f>
        <v>0</v>
      </c>
      <c r="J159" s="8">
        <f>IF(OR(A159&lt;Inputs!$B$15,H159&lt;=0),0,H159*Inputs!$B$13/12)</f>
        <v>0</v>
      </c>
      <c r="K159" s="8">
        <f>IF(OR(A159&lt;Inputs!$B$15,H159&lt;=0),0,MIN(Financing!$C$10,H159+J159))</f>
        <v>0</v>
      </c>
      <c r="L159" s="8">
        <f t="shared" si="78"/>
        <v>0</v>
      </c>
      <c r="M159" s="8">
        <f t="shared" si="89"/>
        <v>0</v>
      </c>
      <c r="N159" s="8">
        <f t="shared" si="90"/>
        <v>10000</v>
      </c>
      <c r="O159" s="8">
        <f t="shared" si="91"/>
        <v>10000</v>
      </c>
      <c r="P159" s="8">
        <f t="shared" si="79"/>
        <v>24000</v>
      </c>
      <c r="Q159" s="95">
        <f>D159-J159-IF(C159=0,0,Inputs!$B$18)-P159</f>
        <v>66575.31356</v>
      </c>
      <c r="R159" s="8">
        <f>MAX(0,Q159-M159)*Inputs!$B$17</f>
        <v>15312.32212</v>
      </c>
      <c r="S159" s="8">
        <f t="shared" si="80"/>
        <v>0</v>
      </c>
      <c r="T159" s="95">
        <f t="shared" si="81"/>
        <v>945565.1038</v>
      </c>
      <c r="U159" s="8">
        <f>IF(AND(Inputs!$B$79=1,B159="OPEN",A159&gt;=Inputs!$B$82,C159&gt;=$C$10,MOD(C159-$C$10,$C$9)=0),MIN(MAX(0,T159-$C$8)*Inputs!$B$81,MAX(0,H159+J159-K159)),0)</f>
        <v>0</v>
      </c>
      <c r="V159" s="8">
        <f>IF(AND(Inputs!$B$79=1,B159="OPEN",A159&gt;=Inputs!$B$82,C159&gt;=$C$10,MOD(C159-$C$10,$C$9)=0),MIN(MAX(0,MAX(0,T159-$C$8)*Inputs!$B$81-U159),MAX(0,G159-I159)),0)</f>
        <v>0</v>
      </c>
      <c r="W159" s="8">
        <f t="shared" si="82"/>
        <v>0</v>
      </c>
      <c r="X159" s="8">
        <f t="shared" si="83"/>
        <v>0</v>
      </c>
      <c r="Y159" s="8">
        <f t="shared" si="84"/>
        <v>0</v>
      </c>
      <c r="Z159" s="95">
        <f t="shared" si="85"/>
        <v>945565.1038</v>
      </c>
    </row>
    <row r="160">
      <c r="A160" s="8">
        <f t="shared" si="86"/>
        <v>59</v>
      </c>
      <c r="B160" s="96" t="str">
        <f t="array" ref="B160">INDEX('Monthly Base'!$B$5:$B$67,A160+1)</f>
        <v>OPEN</v>
      </c>
      <c r="C160" s="96">
        <f t="array" ref="C160">INDEX('Monthly Base'!$C$5:$C$67,A160+1)</f>
        <v>57</v>
      </c>
      <c r="D160" s="95">
        <f t="array" ref="D160">INDEX('Monthly Base'!$O$5:$O$67,A160+1)</f>
        <v>98323.77966</v>
      </c>
      <c r="E160" s="95">
        <f t="array" ref="E160">INDEX('Monthly Base'!$Y$5:$Y$67,A160+1)</f>
        <v>0</v>
      </c>
      <c r="F160" s="95">
        <f t="shared" si="87"/>
        <v>945565.1038</v>
      </c>
      <c r="G160" s="8">
        <f t="shared" ref="G160:H160" si="148">W159</f>
        <v>0</v>
      </c>
      <c r="H160" s="8">
        <f t="shared" si="148"/>
        <v>0</v>
      </c>
      <c r="I160" s="8">
        <f>IF(OR(A160&lt;Inputs!$B$15,G160&lt;=0),0,MIN(Financing!$B$10,G160))</f>
        <v>0</v>
      </c>
      <c r="J160" s="8">
        <f>IF(OR(A160&lt;Inputs!$B$15,H160&lt;=0),0,H160*Inputs!$B$13/12)</f>
        <v>0</v>
      </c>
      <c r="K160" s="8">
        <f>IF(OR(A160&lt;Inputs!$B$15,H160&lt;=0),0,MIN(Financing!$C$10,H160+J160))</f>
        <v>0</v>
      </c>
      <c r="L160" s="8">
        <f t="shared" si="78"/>
        <v>0</v>
      </c>
      <c r="M160" s="8">
        <f t="shared" si="89"/>
        <v>0</v>
      </c>
      <c r="N160" s="8">
        <f t="shared" si="90"/>
        <v>10000</v>
      </c>
      <c r="O160" s="8">
        <f t="shared" si="91"/>
        <v>10000</v>
      </c>
      <c r="P160" s="8">
        <f t="shared" si="79"/>
        <v>24000</v>
      </c>
      <c r="Q160" s="95">
        <f>D160-J160-IF(C160=0,0,Inputs!$B$18)-P160</f>
        <v>67510.77966</v>
      </c>
      <c r="R160" s="8">
        <f>MAX(0,Q160-M160)*Inputs!$B$17</f>
        <v>15527.47932</v>
      </c>
      <c r="S160" s="8">
        <f t="shared" si="80"/>
        <v>0</v>
      </c>
      <c r="T160" s="95">
        <f t="shared" si="81"/>
        <v>1004361.404</v>
      </c>
      <c r="U160" s="8">
        <f>IF(AND(Inputs!$B$79=1,B160="OPEN",A160&gt;=Inputs!$B$82,C160&gt;=$C$10,MOD(C160-$C$10,$C$9)=0),MIN(MAX(0,T160-$C$8)*Inputs!$B$81,MAX(0,H160+J160-K160)),0)</f>
        <v>0</v>
      </c>
      <c r="V160" s="8">
        <f>IF(AND(Inputs!$B$79=1,B160="OPEN",A160&gt;=Inputs!$B$82,C160&gt;=$C$10,MOD(C160-$C$10,$C$9)=0),MIN(MAX(0,MAX(0,T160-$C$8)*Inputs!$B$81-U160),MAX(0,G160-I160)),0)</f>
        <v>0</v>
      </c>
      <c r="W160" s="8">
        <f t="shared" si="82"/>
        <v>0</v>
      </c>
      <c r="X160" s="8">
        <f t="shared" si="83"/>
        <v>0</v>
      </c>
      <c r="Y160" s="8">
        <f t="shared" si="84"/>
        <v>0</v>
      </c>
      <c r="Z160" s="95">
        <f t="shared" si="85"/>
        <v>1004361.404</v>
      </c>
    </row>
    <row r="161">
      <c r="A161" s="8">
        <f t="shared" si="86"/>
        <v>60</v>
      </c>
      <c r="B161" s="96" t="str">
        <f t="array" ref="B161">INDEX('Monthly Base'!$B$5:$B$67,A161+1)</f>
        <v>OPEN</v>
      </c>
      <c r="C161" s="96">
        <f t="array" ref="C161">INDEX('Monthly Base'!$C$5:$C$67,A161+1)</f>
        <v>58</v>
      </c>
      <c r="D161" s="95">
        <f t="array" ref="D161">INDEX('Monthly Base'!$O$5:$O$67,A161+1)</f>
        <v>99072.15254</v>
      </c>
      <c r="E161" s="95">
        <f t="array" ref="E161">INDEX('Monthly Base'!$Y$5:$Y$67,A161+1)</f>
        <v>0</v>
      </c>
      <c r="F161" s="95">
        <f t="shared" si="87"/>
        <v>1004361.404</v>
      </c>
      <c r="G161" s="8">
        <f t="shared" ref="G161:H161" si="149">W160</f>
        <v>0</v>
      </c>
      <c r="H161" s="8">
        <f t="shared" si="149"/>
        <v>0</v>
      </c>
      <c r="I161" s="8">
        <f>IF(OR(A161&lt;Inputs!$B$15,G161&lt;=0),0,MIN(Financing!$B$10,G161))</f>
        <v>0</v>
      </c>
      <c r="J161" s="8">
        <f>IF(OR(A161&lt;Inputs!$B$15,H161&lt;=0),0,H161*Inputs!$B$13/12)</f>
        <v>0</v>
      </c>
      <c r="K161" s="8">
        <f>IF(OR(A161&lt;Inputs!$B$15,H161&lt;=0),0,MIN(Financing!$C$10,H161+J161))</f>
        <v>0</v>
      </c>
      <c r="L161" s="8">
        <f t="shared" si="78"/>
        <v>0</v>
      </c>
      <c r="M161" s="8">
        <f t="shared" si="89"/>
        <v>0</v>
      </c>
      <c r="N161" s="8">
        <f t="shared" si="90"/>
        <v>10000</v>
      </c>
      <c r="O161" s="8">
        <f t="shared" si="91"/>
        <v>10000</v>
      </c>
      <c r="P161" s="8">
        <f t="shared" si="79"/>
        <v>24000</v>
      </c>
      <c r="Q161" s="95">
        <f>D161-J161-IF(C161=0,0,Inputs!$B$18)-P161</f>
        <v>68259.15254</v>
      </c>
      <c r="R161" s="8">
        <f>MAX(0,Q161-M161)*Inputs!$B$17</f>
        <v>15699.60508</v>
      </c>
      <c r="S161" s="8">
        <f t="shared" si="80"/>
        <v>0</v>
      </c>
      <c r="T161" s="95">
        <f t="shared" si="81"/>
        <v>1063733.952</v>
      </c>
      <c r="U161" s="8">
        <f>IF(AND(Inputs!$B$79=1,B161="OPEN",A161&gt;=Inputs!$B$82,C161&gt;=$C$10,MOD(C161-$C$10,$C$9)=0),MIN(MAX(0,T161-$C$8)*Inputs!$B$81,MAX(0,H161+J161-K161)),0)</f>
        <v>0</v>
      </c>
      <c r="V161" s="8">
        <f>IF(AND(Inputs!$B$79=1,B161="OPEN",A161&gt;=Inputs!$B$82,C161&gt;=$C$10,MOD(C161-$C$10,$C$9)=0),MIN(MAX(0,MAX(0,T161-$C$8)*Inputs!$B$81-U161),MAX(0,G161-I161)),0)</f>
        <v>0</v>
      </c>
      <c r="W161" s="8">
        <f t="shared" si="82"/>
        <v>0</v>
      </c>
      <c r="X161" s="8">
        <f t="shared" si="83"/>
        <v>0</v>
      </c>
      <c r="Y161" s="8">
        <f t="shared" si="84"/>
        <v>0</v>
      </c>
      <c r="Z161" s="95">
        <f t="shared" si="85"/>
        <v>1063733.952</v>
      </c>
    </row>
    <row r="162">
      <c r="A162" s="8">
        <f t="shared" si="86"/>
        <v>61</v>
      </c>
      <c r="B162" s="96" t="str">
        <f t="array" ref="B162">INDEX('Monthly Base'!$B$5:$B$67,A162+1)</f>
        <v>OPEN</v>
      </c>
      <c r="C162" s="96">
        <f t="array" ref="C162">INDEX('Monthly Base'!$C$5:$C$67,A162+1)</f>
        <v>59</v>
      </c>
      <c r="D162" s="95">
        <f t="array" ref="D162">INDEX('Monthly Base'!$O$5:$O$67,A162+1)</f>
        <v>99820.52542</v>
      </c>
      <c r="E162" s="95">
        <f t="array" ref="E162">INDEX('Monthly Base'!$Y$5:$Y$67,A162+1)</f>
        <v>0</v>
      </c>
      <c r="F162" s="95">
        <f t="shared" si="87"/>
        <v>1063733.952</v>
      </c>
      <c r="G162" s="8">
        <f t="shared" ref="G162:H162" si="150">W161</f>
        <v>0</v>
      </c>
      <c r="H162" s="8">
        <f t="shared" si="150"/>
        <v>0</v>
      </c>
      <c r="I162" s="8">
        <f>IF(OR(A162&lt;Inputs!$B$15,G162&lt;=0),0,MIN(Financing!$B$10,G162))</f>
        <v>0</v>
      </c>
      <c r="J162" s="8">
        <f>IF(OR(A162&lt;Inputs!$B$15,H162&lt;=0),0,H162*Inputs!$B$13/12)</f>
        <v>0</v>
      </c>
      <c r="K162" s="8">
        <f>IF(OR(A162&lt;Inputs!$B$15,H162&lt;=0),0,MIN(Financing!$C$10,H162+J162))</f>
        <v>0</v>
      </c>
      <c r="L162" s="8">
        <f t="shared" si="78"/>
        <v>0</v>
      </c>
      <c r="M162" s="8">
        <f t="shared" si="89"/>
        <v>0</v>
      </c>
      <c r="N162" s="8">
        <f t="shared" si="90"/>
        <v>10000</v>
      </c>
      <c r="O162" s="8">
        <f t="shared" si="91"/>
        <v>10000</v>
      </c>
      <c r="P162" s="8">
        <f t="shared" si="79"/>
        <v>24000</v>
      </c>
      <c r="Q162" s="95">
        <f>D162-J162-IF(C162=0,0,Inputs!$B$18)-P162</f>
        <v>69007.52542</v>
      </c>
      <c r="R162" s="8">
        <f>MAX(0,Q162-M162)*Inputs!$B$17</f>
        <v>15871.73085</v>
      </c>
      <c r="S162" s="8">
        <f t="shared" si="80"/>
        <v>0</v>
      </c>
      <c r="T162" s="95">
        <f t="shared" si="81"/>
        <v>1123682.746</v>
      </c>
      <c r="U162" s="8">
        <f>IF(AND(Inputs!$B$79=1,B162="OPEN",A162&gt;=Inputs!$B$82,C162&gt;=$C$10,MOD(C162-$C$10,$C$9)=0),MIN(MAX(0,T162-$C$8)*Inputs!$B$81,MAX(0,H162+J162-K162)),0)</f>
        <v>0</v>
      </c>
      <c r="V162" s="8">
        <f>IF(AND(Inputs!$B$79=1,B162="OPEN",A162&gt;=Inputs!$B$82,C162&gt;=$C$10,MOD(C162-$C$10,$C$9)=0),MIN(MAX(0,MAX(0,T162-$C$8)*Inputs!$B$81-U162),MAX(0,G162-I162)),0)</f>
        <v>0</v>
      </c>
      <c r="W162" s="8">
        <f t="shared" si="82"/>
        <v>0</v>
      </c>
      <c r="X162" s="8">
        <f t="shared" si="83"/>
        <v>0</v>
      </c>
      <c r="Y162" s="8">
        <f t="shared" si="84"/>
        <v>0</v>
      </c>
      <c r="Z162" s="95">
        <f t="shared" si="85"/>
        <v>1123682.746</v>
      </c>
    </row>
    <row r="163">
      <c r="A163" s="8">
        <f t="shared" si="86"/>
        <v>62</v>
      </c>
      <c r="B163" s="96" t="str">
        <f t="array" ref="B163">INDEX('Monthly Base'!$B$5:$B$67,A163+1)</f>
        <v>OPEN</v>
      </c>
      <c r="C163" s="96">
        <f t="array" ref="C163">INDEX('Monthly Base'!$C$5:$C$67,A163+1)</f>
        <v>60</v>
      </c>
      <c r="D163" s="95">
        <f t="array" ref="D163">INDEX('Monthly Base'!$O$5:$O$67,A163+1)</f>
        <v>100568.8983</v>
      </c>
      <c r="E163" s="95">
        <f t="array" ref="E163">INDEX('Monthly Base'!$Y$5:$Y$67,A163+1)</f>
        <v>0</v>
      </c>
      <c r="F163" s="95">
        <f t="shared" si="87"/>
        <v>1123682.746</v>
      </c>
      <c r="G163" s="8">
        <f t="shared" ref="G163:H163" si="151">W162</f>
        <v>0</v>
      </c>
      <c r="H163" s="8">
        <f t="shared" si="151"/>
        <v>0</v>
      </c>
      <c r="I163" s="8">
        <f>IF(OR(A163&lt;Inputs!$B$15,G163&lt;=0),0,MIN(Financing!$B$10,G163))</f>
        <v>0</v>
      </c>
      <c r="J163" s="8">
        <f>IF(OR(A163&lt;Inputs!$B$15,H163&lt;=0),0,H163*Inputs!$B$13/12)</f>
        <v>0</v>
      </c>
      <c r="K163" s="8">
        <f>IF(OR(A163&lt;Inputs!$B$15,H163&lt;=0),0,MIN(Financing!$C$10,H163+J163))</f>
        <v>0</v>
      </c>
      <c r="L163" s="8">
        <f t="shared" si="78"/>
        <v>0</v>
      </c>
      <c r="M163" s="8">
        <f t="shared" si="89"/>
        <v>0</v>
      </c>
      <c r="N163" s="8">
        <f t="shared" si="90"/>
        <v>10000</v>
      </c>
      <c r="O163" s="8">
        <f t="shared" si="91"/>
        <v>10000</v>
      </c>
      <c r="P163" s="8">
        <f t="shared" si="79"/>
        <v>24000</v>
      </c>
      <c r="Q163" s="95">
        <f>D163-J163-IF(C163=0,0,Inputs!$B$18)-P163</f>
        <v>69755.89831</v>
      </c>
      <c r="R163" s="8">
        <f>MAX(0,Q163-M163)*Inputs!$B$17</f>
        <v>16043.85661</v>
      </c>
      <c r="S163" s="8">
        <f t="shared" si="80"/>
        <v>0</v>
      </c>
      <c r="T163" s="95">
        <f t="shared" si="81"/>
        <v>1184207.788</v>
      </c>
      <c r="U163" s="8">
        <f>IF(AND(Inputs!$B$79=1,B163="OPEN",A163&gt;=Inputs!$B$82,C163&gt;=$C$10,MOD(C163-$C$10,$C$9)=0),MIN(MAX(0,T163-$C$8)*Inputs!$B$81,MAX(0,H163+J163-K163)),0)</f>
        <v>0</v>
      </c>
      <c r="V163" s="8">
        <f>IF(AND(Inputs!$B$79=1,B163="OPEN",A163&gt;=Inputs!$B$82,C163&gt;=$C$10,MOD(C163-$C$10,$C$9)=0),MIN(MAX(0,MAX(0,T163-$C$8)*Inputs!$B$81-U163),MAX(0,G163-I163)),0)</f>
        <v>0</v>
      </c>
      <c r="W163" s="8">
        <f t="shared" si="82"/>
        <v>0</v>
      </c>
      <c r="X163" s="8">
        <f t="shared" si="83"/>
        <v>0</v>
      </c>
      <c r="Y163" s="8">
        <f t="shared" si="84"/>
        <v>0</v>
      </c>
      <c r="Z163" s="95">
        <f t="shared" si="85"/>
        <v>1184207.788</v>
      </c>
    </row>
    <row r="170">
      <c r="A170" s="21" t="s">
        <v>304</v>
      </c>
      <c r="B170" s="21" t="s">
        <v>316</v>
      </c>
      <c r="C170" s="21" t="s">
        <v>317</v>
      </c>
      <c r="D170" s="21" t="s">
        <v>329</v>
      </c>
      <c r="E170" s="21" t="s">
        <v>474</v>
      </c>
      <c r="F170" s="21" t="s">
        <v>475</v>
      </c>
      <c r="G170" s="21" t="s">
        <v>476</v>
      </c>
      <c r="H170" s="21" t="s">
        <v>477</v>
      </c>
      <c r="I170" s="21" t="s">
        <v>478</v>
      </c>
      <c r="J170" s="21" t="s">
        <v>332</v>
      </c>
      <c r="K170" s="21" t="s">
        <v>479</v>
      </c>
      <c r="L170" s="21" t="s">
        <v>480</v>
      </c>
      <c r="M170" s="21" t="s">
        <v>335</v>
      </c>
      <c r="N170" s="21" t="s">
        <v>481</v>
      </c>
      <c r="O170" s="21" t="s">
        <v>482</v>
      </c>
      <c r="P170" s="21" t="s">
        <v>483</v>
      </c>
      <c r="Q170" s="21" t="s">
        <v>334</v>
      </c>
      <c r="R170" s="21" t="s">
        <v>484</v>
      </c>
      <c r="S170" s="21" t="s">
        <v>338</v>
      </c>
      <c r="T170" s="21" t="s">
        <v>485</v>
      </c>
      <c r="U170" s="21" t="s">
        <v>486</v>
      </c>
      <c r="V170" s="21" t="s">
        <v>487</v>
      </c>
      <c r="W170" s="21" t="s">
        <v>488</v>
      </c>
      <c r="X170" s="21" t="s">
        <v>489</v>
      </c>
      <c r="Y170" s="21" t="s">
        <v>490</v>
      </c>
      <c r="Z170" s="21" t="s">
        <v>491</v>
      </c>
    </row>
    <row r="171">
      <c r="A171" s="21">
        <v>0.0</v>
      </c>
      <c r="B171" s="96" t="str">
        <f t="array" ref="B171">INDEX('Monthly Base'!$B$5:$B$67,A171+1)</f>
        <v>BUILD</v>
      </c>
      <c r="C171" s="96">
        <f t="array" ref="C171">INDEX('Monthly Base'!$C$5:$C$67,A171+1)</f>
        <v>0</v>
      </c>
      <c r="D171" s="95">
        <f t="array" ref="D171">INDEX('Monthly Base'!$O$5:$O$67,A171+1)</f>
        <v>-20018</v>
      </c>
      <c r="E171" s="95">
        <f t="array" ref="E171">INDEX('Monthly Base'!$Y$5:$Y$67,A171+1)</f>
        <v>0</v>
      </c>
      <c r="F171" s="95">
        <f>'Startup &amp; Funding'!$B$19</f>
        <v>68990.0014</v>
      </c>
      <c r="G171" s="95">
        <f>Inputs!$B$9</f>
        <v>240000</v>
      </c>
      <c r="H171" s="95">
        <f>Inputs!$B$10</f>
        <v>900000</v>
      </c>
      <c r="I171" s="8">
        <f>IF(OR(A171&lt;Inputs!$B$15,G171&lt;=0),0,MIN(Financing!$B$10,G171))</f>
        <v>0</v>
      </c>
      <c r="J171" s="8">
        <f>IF(OR(A171&lt;Inputs!$B$15,H171&lt;=0),0,H171*Inputs!$B$13/12)</f>
        <v>0</v>
      </c>
      <c r="K171" s="8">
        <f>IF(OR(A171&lt;Inputs!$B$15,H171&lt;=0),0,MIN(Financing!$C$10,H171+J171))</f>
        <v>0</v>
      </c>
      <c r="L171" s="8">
        <f t="shared" ref="L171:L233" si="153">I171+K171</f>
        <v>0</v>
      </c>
      <c r="M171" s="21">
        <v>0.0</v>
      </c>
      <c r="N171" s="21">
        <v>0.0</v>
      </c>
      <c r="O171" s="21">
        <v>0.0</v>
      </c>
      <c r="P171" s="8">
        <f t="shared" ref="P171:P233" si="154">(N171+O171)*(1+$D$11)</f>
        <v>0</v>
      </c>
      <c r="Q171" s="95">
        <f>D171-J171-IF(C171=0,0,Inputs!$B$18)-P171</f>
        <v>-20018</v>
      </c>
      <c r="R171" s="8">
        <f>MAX(0,Q171-M171)*Inputs!$B$17</f>
        <v>0</v>
      </c>
      <c r="S171" s="8">
        <f t="shared" ref="S171:S233" si="155">MAX(0,M171-MAX(0,Q171))+MAX(0,-Q171)</f>
        <v>20018</v>
      </c>
      <c r="T171" s="95">
        <f t="shared" ref="T171:T233" si="156">F171+D171+E171-L171-P171-R171</f>
        <v>48972.0014</v>
      </c>
      <c r="U171" s="8">
        <f>IF(AND(Inputs!$B$79=1,B171="OPEN",A171&gt;=Inputs!$B$82,C171&gt;=$D$10,MOD(C171-$D$10,$D$9)=0),MIN(MAX(0,T171-$D$8)*Inputs!$B$81,MAX(0,H171+J171-K171)),0)</f>
        <v>0</v>
      </c>
      <c r="V171" s="8">
        <f>IF(AND(Inputs!$B$79=1,B171="OPEN",A171&gt;=Inputs!$B$82,C171&gt;=$D$10,MOD(C171-$D$10,$D$9)=0),MIN(MAX(0,MAX(0,T171-$D$8)*Inputs!$B$81-U171),MAX(0,G171-I171)),0)</f>
        <v>0</v>
      </c>
      <c r="W171" s="8">
        <f t="shared" ref="W171:W233" si="157">MAX(0,G171-I171-V171)</f>
        <v>240000</v>
      </c>
      <c r="X171" s="8">
        <f t="shared" ref="X171:X233" si="158">MAX(0,H171+J171-K171-U171)</f>
        <v>900000</v>
      </c>
      <c r="Y171" s="8">
        <f t="shared" ref="Y171:Y233" si="159">W171+X171</f>
        <v>1140000</v>
      </c>
      <c r="Z171" s="95">
        <f t="shared" ref="Z171:Z233" si="160">T171-U171-V171</f>
        <v>48972.0014</v>
      </c>
    </row>
    <row r="172">
      <c r="A172" s="8">
        <f t="shared" ref="A172:A233" si="161">A171+1</f>
        <v>1</v>
      </c>
      <c r="B172" s="96" t="str">
        <f t="array" ref="B172">INDEX('Monthly Base'!$B$5:$B$67,A172+1)</f>
        <v>BUILD</v>
      </c>
      <c r="C172" s="96">
        <f t="array" ref="C172">INDEX('Monthly Base'!$C$5:$C$67,A172+1)</f>
        <v>0</v>
      </c>
      <c r="D172" s="95">
        <f t="array" ref="D172">INDEX('Monthly Base'!$O$5:$O$67,A172+1)</f>
        <v>-20018</v>
      </c>
      <c r="E172" s="95">
        <f t="array" ref="E172">INDEX('Monthly Base'!$Y$5:$Y$67,A172+1)</f>
        <v>0</v>
      </c>
      <c r="F172" s="95">
        <f t="shared" ref="F172:F233" si="162">Z171</f>
        <v>48972.0014</v>
      </c>
      <c r="G172" s="8">
        <f t="shared" ref="G172:H172" si="152">W171</f>
        <v>240000</v>
      </c>
      <c r="H172" s="8">
        <f t="shared" si="152"/>
        <v>900000</v>
      </c>
      <c r="I172" s="8">
        <f>IF(OR(A172&lt;Inputs!$B$15,G172&lt;=0),0,MIN(Financing!$B$10,G172))</f>
        <v>0</v>
      </c>
      <c r="J172" s="8">
        <f>IF(OR(A172&lt;Inputs!$B$15,H172&lt;=0),0,H172*Inputs!$B$13/12)</f>
        <v>0</v>
      </c>
      <c r="K172" s="8">
        <f>IF(OR(A172&lt;Inputs!$B$15,H172&lt;=0),0,MIN(Financing!$C$10,H172+J172))</f>
        <v>0</v>
      </c>
      <c r="L172" s="8">
        <f t="shared" si="153"/>
        <v>0</v>
      </c>
      <c r="M172" s="8">
        <f t="shared" ref="M172:M233" si="164">S171</f>
        <v>20018</v>
      </c>
      <c r="N172" s="8">
        <f t="shared" ref="N172:N233" si="165">IF(B172="OPEN",IF(Y171=0,$D$7,IF(AND(C172&gt;0,C172&gt;=$D$5,$D$6&gt;0),$D$6,0)),0)</f>
        <v>0</v>
      </c>
      <c r="O172" s="8">
        <f t="shared" ref="O172:O233" si="166">IF(B172="OPEN",IF(Y171=0,$D$7,IF(AND(C172&gt;0,C172&gt;=$D$5,$D$6&gt;0),$D$6,0)),0)</f>
        <v>0</v>
      </c>
      <c r="P172" s="8">
        <f t="shared" si="154"/>
        <v>0</v>
      </c>
      <c r="Q172" s="95">
        <f>D172-J172-IF(C172=0,0,Inputs!$B$18)-P172</f>
        <v>-20018</v>
      </c>
      <c r="R172" s="8">
        <f>MAX(0,Q172-M172)*Inputs!$B$17</f>
        <v>0</v>
      </c>
      <c r="S172" s="8">
        <f t="shared" si="155"/>
        <v>40036</v>
      </c>
      <c r="T172" s="95">
        <f t="shared" si="156"/>
        <v>28954.0014</v>
      </c>
      <c r="U172" s="8">
        <f>IF(AND(Inputs!$B$79=1,B172="OPEN",A172&gt;=Inputs!$B$82,C172&gt;=$D$10,MOD(C172-$D$10,$D$9)=0),MIN(MAX(0,T172-$D$8)*Inputs!$B$81,MAX(0,H172+J172-K172)),0)</f>
        <v>0</v>
      </c>
      <c r="V172" s="8">
        <f>IF(AND(Inputs!$B$79=1,B172="OPEN",A172&gt;=Inputs!$B$82,C172&gt;=$D$10,MOD(C172-$D$10,$D$9)=0),MIN(MAX(0,MAX(0,T172-$D$8)*Inputs!$B$81-U172),MAX(0,G172-I172)),0)</f>
        <v>0</v>
      </c>
      <c r="W172" s="8">
        <f t="shared" si="157"/>
        <v>240000</v>
      </c>
      <c r="X172" s="8">
        <f t="shared" si="158"/>
        <v>900000</v>
      </c>
      <c r="Y172" s="8">
        <f t="shared" si="159"/>
        <v>1140000</v>
      </c>
      <c r="Z172" s="95">
        <f t="shared" si="160"/>
        <v>28954.0014</v>
      </c>
    </row>
    <row r="173">
      <c r="A173" s="8">
        <f t="shared" si="161"/>
        <v>2</v>
      </c>
      <c r="B173" s="96" t="str">
        <f t="array" ref="B173">INDEX('Monthly Base'!$B$5:$B$67,A173+1)</f>
        <v>BUILD</v>
      </c>
      <c r="C173" s="96">
        <f t="array" ref="C173">INDEX('Monthly Base'!$C$5:$C$67,A173+1)</f>
        <v>0</v>
      </c>
      <c r="D173" s="95">
        <f t="array" ref="D173">INDEX('Monthly Base'!$O$5:$O$67,A173+1)</f>
        <v>-20018</v>
      </c>
      <c r="E173" s="95">
        <f t="array" ref="E173">INDEX('Monthly Base'!$Y$5:$Y$67,A173+1)</f>
        <v>151933.7286</v>
      </c>
      <c r="F173" s="95">
        <f t="shared" si="162"/>
        <v>28954.0014</v>
      </c>
      <c r="G173" s="8">
        <f t="shared" ref="G173:H173" si="163">W172</f>
        <v>240000</v>
      </c>
      <c r="H173" s="8">
        <f t="shared" si="163"/>
        <v>900000</v>
      </c>
      <c r="I173" s="8">
        <f>IF(OR(A173&lt;Inputs!$B$15,G173&lt;=0),0,MIN(Financing!$B$10,G173))</f>
        <v>0</v>
      </c>
      <c r="J173" s="8">
        <f>IF(OR(A173&lt;Inputs!$B$15,H173&lt;=0),0,H173*Inputs!$B$13/12)</f>
        <v>0</v>
      </c>
      <c r="K173" s="8">
        <f>IF(OR(A173&lt;Inputs!$B$15,H173&lt;=0),0,MIN(Financing!$C$10,H173+J173))</f>
        <v>0</v>
      </c>
      <c r="L173" s="8">
        <f t="shared" si="153"/>
        <v>0</v>
      </c>
      <c r="M173" s="8">
        <f t="shared" si="164"/>
        <v>40036</v>
      </c>
      <c r="N173" s="8">
        <f t="shared" si="165"/>
        <v>0</v>
      </c>
      <c r="O173" s="8">
        <f t="shared" si="166"/>
        <v>0</v>
      </c>
      <c r="P173" s="8">
        <f t="shared" si="154"/>
        <v>0</v>
      </c>
      <c r="Q173" s="95">
        <f>D173-J173-IF(C173=0,0,Inputs!$B$18)-P173</f>
        <v>-20018</v>
      </c>
      <c r="R173" s="8">
        <f>MAX(0,Q173-M173)*Inputs!$B$17</f>
        <v>0</v>
      </c>
      <c r="S173" s="8">
        <f t="shared" si="155"/>
        <v>60054</v>
      </c>
      <c r="T173" s="95">
        <f t="shared" si="156"/>
        <v>160869.73</v>
      </c>
      <c r="U173" s="8">
        <f>IF(AND(Inputs!$B$79=1,B173="OPEN",A173&gt;=Inputs!$B$82,C173&gt;=$D$10,MOD(C173-$D$10,$D$9)=0),MIN(MAX(0,T173-$D$8)*Inputs!$B$81,MAX(0,H173+J173-K173)),0)</f>
        <v>0</v>
      </c>
      <c r="V173" s="8">
        <f>IF(AND(Inputs!$B$79=1,B173="OPEN",A173&gt;=Inputs!$B$82,C173&gt;=$D$10,MOD(C173-$D$10,$D$9)=0),MIN(MAX(0,MAX(0,T173-$D$8)*Inputs!$B$81-U173),MAX(0,G173-I173)),0)</f>
        <v>0</v>
      </c>
      <c r="W173" s="8">
        <f t="shared" si="157"/>
        <v>240000</v>
      </c>
      <c r="X173" s="8">
        <f t="shared" si="158"/>
        <v>900000</v>
      </c>
      <c r="Y173" s="8">
        <f t="shared" si="159"/>
        <v>1140000</v>
      </c>
      <c r="Z173" s="95">
        <f t="shared" si="160"/>
        <v>160869.73</v>
      </c>
    </row>
    <row r="174">
      <c r="A174" s="8">
        <f t="shared" si="161"/>
        <v>3</v>
      </c>
      <c r="B174" s="96" t="str">
        <f t="array" ref="B174">INDEX('Monthly Base'!$B$5:$B$67,A174+1)</f>
        <v>OPEN</v>
      </c>
      <c r="C174" s="96">
        <f t="array" ref="C174">INDEX('Monthly Base'!$C$5:$C$67,A174+1)</f>
        <v>1</v>
      </c>
      <c r="D174" s="95">
        <f t="array" ref="D174">INDEX('Monthly Base'!$O$5:$O$67,A174+1)</f>
        <v>-13932.15254</v>
      </c>
      <c r="E174" s="95">
        <f t="array" ref="E174">INDEX('Monthly Base'!$Y$5:$Y$67,A174+1)</f>
        <v>0</v>
      </c>
      <c r="F174" s="95">
        <f t="shared" si="162"/>
        <v>160869.73</v>
      </c>
      <c r="G174" s="8">
        <f t="shared" ref="G174:H174" si="167">W173</f>
        <v>240000</v>
      </c>
      <c r="H174" s="8">
        <f t="shared" si="167"/>
        <v>900000</v>
      </c>
      <c r="I174" s="8">
        <f>IF(OR(A174&lt;Inputs!$B$15,G174&lt;=0),0,MIN(Financing!$B$10,G174))</f>
        <v>0</v>
      </c>
      <c r="J174" s="8">
        <f>IF(OR(A174&lt;Inputs!$B$15,H174&lt;=0),0,H174*Inputs!$B$13/12)</f>
        <v>0</v>
      </c>
      <c r="K174" s="8">
        <f>IF(OR(A174&lt;Inputs!$B$15,H174&lt;=0),0,MIN(Financing!$C$10,H174+J174))</f>
        <v>0</v>
      </c>
      <c r="L174" s="8">
        <f t="shared" si="153"/>
        <v>0</v>
      </c>
      <c r="M174" s="8">
        <f t="shared" si="164"/>
        <v>60054</v>
      </c>
      <c r="N174" s="8">
        <f t="shared" si="165"/>
        <v>0</v>
      </c>
      <c r="O174" s="8">
        <f t="shared" si="166"/>
        <v>0</v>
      </c>
      <c r="P174" s="8">
        <f t="shared" si="154"/>
        <v>0</v>
      </c>
      <c r="Q174" s="95">
        <f>D174-J174-IF(C174=0,0,Inputs!$B$18)-P174</f>
        <v>-20745.15254</v>
      </c>
      <c r="R174" s="8">
        <f>MAX(0,Q174-M174)*Inputs!$B$17</f>
        <v>0</v>
      </c>
      <c r="S174" s="8">
        <f t="shared" si="155"/>
        <v>80799.15254</v>
      </c>
      <c r="T174" s="95">
        <f t="shared" si="156"/>
        <v>146937.5775</v>
      </c>
      <c r="U174" s="8">
        <f>IF(AND(Inputs!$B$79=1,B174="OPEN",A174&gt;=Inputs!$B$82,C174&gt;=$D$10,MOD(C174-$D$10,$D$9)=0),MIN(MAX(0,T174-$D$8)*Inputs!$B$81,MAX(0,H174+J174-K174)),0)</f>
        <v>0</v>
      </c>
      <c r="V174" s="8">
        <f>IF(AND(Inputs!$B$79=1,B174="OPEN",A174&gt;=Inputs!$B$82,C174&gt;=$D$10,MOD(C174-$D$10,$D$9)=0),MIN(MAX(0,MAX(0,T174-$D$8)*Inputs!$B$81-U174),MAX(0,G174-I174)),0)</f>
        <v>0</v>
      </c>
      <c r="W174" s="8">
        <f t="shared" si="157"/>
        <v>240000</v>
      </c>
      <c r="X174" s="8">
        <f t="shared" si="158"/>
        <v>900000</v>
      </c>
      <c r="Y174" s="8">
        <f t="shared" si="159"/>
        <v>1140000</v>
      </c>
      <c r="Z174" s="95">
        <f t="shared" si="160"/>
        <v>146937.5775</v>
      </c>
    </row>
    <row r="175">
      <c r="A175" s="8">
        <f t="shared" si="161"/>
        <v>4</v>
      </c>
      <c r="B175" s="96" t="str">
        <f t="array" ref="B175">INDEX('Monthly Base'!$B$5:$B$67,A175+1)</f>
        <v>OPEN</v>
      </c>
      <c r="C175" s="96">
        <f t="array" ref="C175">INDEX('Monthly Base'!$C$5:$C$67,A175+1)</f>
        <v>2</v>
      </c>
      <c r="D175" s="95">
        <f t="array" ref="D175">INDEX('Monthly Base'!$O$5:$O$67,A175+1)</f>
        <v>-10377.38136</v>
      </c>
      <c r="E175" s="95">
        <f t="array" ref="E175">INDEX('Monthly Base'!$Y$5:$Y$67,A175+1)</f>
        <v>0</v>
      </c>
      <c r="F175" s="95">
        <f t="shared" si="162"/>
        <v>146937.5775</v>
      </c>
      <c r="G175" s="8">
        <f t="shared" ref="G175:H175" si="168">W174</f>
        <v>240000</v>
      </c>
      <c r="H175" s="8">
        <f t="shared" si="168"/>
        <v>900000</v>
      </c>
      <c r="I175" s="8">
        <f>IF(OR(A175&lt;Inputs!$B$15,G175&lt;=0),0,MIN(Financing!$B$10,G175))</f>
        <v>0</v>
      </c>
      <c r="J175" s="8">
        <f>IF(OR(A175&lt;Inputs!$B$15,H175&lt;=0),0,H175*Inputs!$B$13/12)</f>
        <v>0</v>
      </c>
      <c r="K175" s="8">
        <f>IF(OR(A175&lt;Inputs!$B$15,H175&lt;=0),0,MIN(Financing!$C$10,H175+J175))</f>
        <v>0</v>
      </c>
      <c r="L175" s="8">
        <f t="shared" si="153"/>
        <v>0</v>
      </c>
      <c r="M175" s="8">
        <f t="shared" si="164"/>
        <v>80799.15254</v>
      </c>
      <c r="N175" s="8">
        <f t="shared" si="165"/>
        <v>0</v>
      </c>
      <c r="O175" s="8">
        <f t="shared" si="166"/>
        <v>0</v>
      </c>
      <c r="P175" s="8">
        <f t="shared" si="154"/>
        <v>0</v>
      </c>
      <c r="Q175" s="95">
        <f>D175-J175-IF(C175=0,0,Inputs!$B$18)-P175</f>
        <v>-17190.38136</v>
      </c>
      <c r="R175" s="8">
        <f>MAX(0,Q175-M175)*Inputs!$B$17</f>
        <v>0</v>
      </c>
      <c r="S175" s="8">
        <f t="shared" si="155"/>
        <v>97989.5339</v>
      </c>
      <c r="T175" s="95">
        <f t="shared" si="156"/>
        <v>136560.1961</v>
      </c>
      <c r="U175" s="8">
        <f>IF(AND(Inputs!$B$79=1,B175="OPEN",A175&gt;=Inputs!$B$82,C175&gt;=$D$10,MOD(C175-$D$10,$D$9)=0),MIN(MAX(0,T175-$D$8)*Inputs!$B$81,MAX(0,H175+J175-K175)),0)</f>
        <v>0</v>
      </c>
      <c r="V175" s="8">
        <f>IF(AND(Inputs!$B$79=1,B175="OPEN",A175&gt;=Inputs!$B$82,C175&gt;=$D$10,MOD(C175-$D$10,$D$9)=0),MIN(MAX(0,MAX(0,T175-$D$8)*Inputs!$B$81-U175),MAX(0,G175-I175)),0)</f>
        <v>0</v>
      </c>
      <c r="W175" s="8">
        <f t="shared" si="157"/>
        <v>240000</v>
      </c>
      <c r="X175" s="8">
        <f t="shared" si="158"/>
        <v>900000</v>
      </c>
      <c r="Y175" s="8">
        <f t="shared" si="159"/>
        <v>1140000</v>
      </c>
      <c r="Z175" s="95">
        <f t="shared" si="160"/>
        <v>136560.1961</v>
      </c>
    </row>
    <row r="176">
      <c r="A176" s="8">
        <f t="shared" si="161"/>
        <v>5</v>
      </c>
      <c r="B176" s="96" t="str">
        <f t="array" ref="B176">INDEX('Monthly Base'!$B$5:$B$67,A176+1)</f>
        <v>OPEN</v>
      </c>
      <c r="C176" s="96">
        <f t="array" ref="C176">INDEX('Monthly Base'!$C$5:$C$67,A176+1)</f>
        <v>3</v>
      </c>
      <c r="D176" s="95">
        <f t="array" ref="D176">INDEX('Monthly Base'!$O$5:$O$67,A176+1)</f>
        <v>-6635.516949</v>
      </c>
      <c r="E176" s="95">
        <f t="array" ref="E176">INDEX('Monthly Base'!$Y$5:$Y$67,A176+1)</f>
        <v>0</v>
      </c>
      <c r="F176" s="95">
        <f t="shared" si="162"/>
        <v>136560.1961</v>
      </c>
      <c r="G176" s="8">
        <f t="shared" ref="G176:H176" si="169">W175</f>
        <v>240000</v>
      </c>
      <c r="H176" s="8">
        <f t="shared" si="169"/>
        <v>900000</v>
      </c>
      <c r="I176" s="8">
        <f>IF(OR(A176&lt;Inputs!$B$15,G176&lt;=0),0,MIN(Financing!$B$10,G176))</f>
        <v>0</v>
      </c>
      <c r="J176" s="8">
        <f>IF(OR(A176&lt;Inputs!$B$15,H176&lt;=0),0,H176*Inputs!$B$13/12)</f>
        <v>0</v>
      </c>
      <c r="K176" s="8">
        <f>IF(OR(A176&lt;Inputs!$B$15,H176&lt;=0),0,MIN(Financing!$C$10,H176+J176))</f>
        <v>0</v>
      </c>
      <c r="L176" s="8">
        <f t="shared" si="153"/>
        <v>0</v>
      </c>
      <c r="M176" s="8">
        <f t="shared" si="164"/>
        <v>97989.5339</v>
      </c>
      <c r="N176" s="8">
        <f t="shared" si="165"/>
        <v>0</v>
      </c>
      <c r="O176" s="8">
        <f t="shared" si="166"/>
        <v>0</v>
      </c>
      <c r="P176" s="8">
        <f t="shared" si="154"/>
        <v>0</v>
      </c>
      <c r="Q176" s="95">
        <f>D176-J176-IF(C176=0,0,Inputs!$B$18)-P176</f>
        <v>-13448.51695</v>
      </c>
      <c r="R176" s="8">
        <f>MAX(0,Q176-M176)*Inputs!$B$17</f>
        <v>0</v>
      </c>
      <c r="S176" s="8">
        <f t="shared" si="155"/>
        <v>111438.0508</v>
      </c>
      <c r="T176" s="95">
        <f t="shared" si="156"/>
        <v>129924.6792</v>
      </c>
      <c r="U176" s="8">
        <f>IF(AND(Inputs!$B$79=1,B176="OPEN",A176&gt;=Inputs!$B$82,C176&gt;=$D$10,MOD(C176-$D$10,$D$9)=0),MIN(MAX(0,T176-$D$8)*Inputs!$B$81,MAX(0,H176+J176-K176)),0)</f>
        <v>0</v>
      </c>
      <c r="V176" s="8">
        <f>IF(AND(Inputs!$B$79=1,B176="OPEN",A176&gt;=Inputs!$B$82,C176&gt;=$D$10,MOD(C176-$D$10,$D$9)=0),MIN(MAX(0,MAX(0,T176-$D$8)*Inputs!$B$81-U176),MAX(0,G176-I176)),0)</f>
        <v>0</v>
      </c>
      <c r="W176" s="8">
        <f t="shared" si="157"/>
        <v>240000</v>
      </c>
      <c r="X176" s="8">
        <f t="shared" si="158"/>
        <v>900000</v>
      </c>
      <c r="Y176" s="8">
        <f t="shared" si="159"/>
        <v>1140000</v>
      </c>
      <c r="Z176" s="95">
        <f t="shared" si="160"/>
        <v>129924.6792</v>
      </c>
    </row>
    <row r="177">
      <c r="A177" s="8">
        <f t="shared" si="161"/>
        <v>6</v>
      </c>
      <c r="B177" s="96" t="str">
        <f t="array" ref="B177">INDEX('Monthly Base'!$B$5:$B$67,A177+1)</f>
        <v>OPEN</v>
      </c>
      <c r="C177" s="96">
        <f t="array" ref="C177">INDEX('Monthly Base'!$C$5:$C$67,A177+1)</f>
        <v>4</v>
      </c>
      <c r="D177" s="95">
        <f t="array" ref="D177">INDEX('Monthly Base'!$O$5:$O$67,A177+1)</f>
        <v>-3080.745763</v>
      </c>
      <c r="E177" s="95">
        <f t="array" ref="E177">INDEX('Monthly Base'!$Y$5:$Y$67,A177+1)</f>
        <v>0</v>
      </c>
      <c r="F177" s="95">
        <f t="shared" si="162"/>
        <v>129924.6792</v>
      </c>
      <c r="G177" s="8">
        <f t="shared" ref="G177:H177" si="170">W176</f>
        <v>240000</v>
      </c>
      <c r="H177" s="8">
        <f t="shared" si="170"/>
        <v>900000</v>
      </c>
      <c r="I177" s="8">
        <f>IF(OR(A177&lt;Inputs!$B$15,G177&lt;=0),0,MIN(Financing!$B$10,G177))</f>
        <v>0</v>
      </c>
      <c r="J177" s="8">
        <f>IF(OR(A177&lt;Inputs!$B$15,H177&lt;=0),0,H177*Inputs!$B$13/12)</f>
        <v>0</v>
      </c>
      <c r="K177" s="8">
        <f>IF(OR(A177&lt;Inputs!$B$15,H177&lt;=0),0,MIN(Financing!$C$10,H177+J177))</f>
        <v>0</v>
      </c>
      <c r="L177" s="8">
        <f t="shared" si="153"/>
        <v>0</v>
      </c>
      <c r="M177" s="8">
        <f t="shared" si="164"/>
        <v>111438.0508</v>
      </c>
      <c r="N177" s="8">
        <f t="shared" si="165"/>
        <v>0</v>
      </c>
      <c r="O177" s="8">
        <f t="shared" si="166"/>
        <v>0</v>
      </c>
      <c r="P177" s="8">
        <f t="shared" si="154"/>
        <v>0</v>
      </c>
      <c r="Q177" s="95">
        <f>D177-J177-IF(C177=0,0,Inputs!$B$18)-P177</f>
        <v>-9893.745763</v>
      </c>
      <c r="R177" s="8">
        <f>MAX(0,Q177-M177)*Inputs!$B$17</f>
        <v>0</v>
      </c>
      <c r="S177" s="8">
        <f t="shared" si="155"/>
        <v>121331.7966</v>
      </c>
      <c r="T177" s="95">
        <f t="shared" si="156"/>
        <v>126843.9334</v>
      </c>
      <c r="U177" s="8">
        <f>IF(AND(Inputs!$B$79=1,B177="OPEN",A177&gt;=Inputs!$B$82,C177&gt;=$D$10,MOD(C177-$D$10,$D$9)=0),MIN(MAX(0,T177-$D$8)*Inputs!$B$81,MAX(0,H177+J177-K177)),0)</f>
        <v>0</v>
      </c>
      <c r="V177" s="8">
        <f>IF(AND(Inputs!$B$79=1,B177="OPEN",A177&gt;=Inputs!$B$82,C177&gt;=$D$10,MOD(C177-$D$10,$D$9)=0),MIN(MAX(0,MAX(0,T177-$D$8)*Inputs!$B$81-U177),MAX(0,G177-I177)),0)</f>
        <v>0</v>
      </c>
      <c r="W177" s="8">
        <f t="shared" si="157"/>
        <v>240000</v>
      </c>
      <c r="X177" s="8">
        <f t="shared" si="158"/>
        <v>900000</v>
      </c>
      <c r="Y177" s="8">
        <f t="shared" si="159"/>
        <v>1140000</v>
      </c>
      <c r="Z177" s="95">
        <f t="shared" si="160"/>
        <v>126843.9334</v>
      </c>
    </row>
    <row r="178">
      <c r="A178" s="8">
        <f t="shared" si="161"/>
        <v>7</v>
      </c>
      <c r="B178" s="96" t="str">
        <f t="array" ref="B178">INDEX('Monthly Base'!$B$5:$B$67,A178+1)</f>
        <v>OPEN</v>
      </c>
      <c r="C178" s="96">
        <f t="array" ref="C178">INDEX('Monthly Base'!$C$5:$C$67,A178+1)</f>
        <v>5</v>
      </c>
      <c r="D178" s="95">
        <f t="array" ref="D178">INDEX('Monthly Base'!$O$5:$O$67,A178+1)</f>
        <v>474.0254237</v>
      </c>
      <c r="E178" s="95">
        <f t="array" ref="E178">INDEX('Monthly Base'!$Y$5:$Y$67,A178+1)</f>
        <v>0</v>
      </c>
      <c r="F178" s="95">
        <f t="shared" si="162"/>
        <v>126843.9334</v>
      </c>
      <c r="G178" s="8">
        <f t="shared" ref="G178:H178" si="171">W177</f>
        <v>240000</v>
      </c>
      <c r="H178" s="8">
        <f t="shared" si="171"/>
        <v>900000</v>
      </c>
      <c r="I178" s="8">
        <f>IF(OR(A178&lt;Inputs!$B$15,G178&lt;=0),0,MIN(Financing!$B$10,G178))</f>
        <v>0</v>
      </c>
      <c r="J178" s="8">
        <f>IF(OR(A178&lt;Inputs!$B$15,H178&lt;=0),0,H178*Inputs!$B$13/12)</f>
        <v>0</v>
      </c>
      <c r="K178" s="8">
        <f>IF(OR(A178&lt;Inputs!$B$15,H178&lt;=0),0,MIN(Financing!$C$10,H178+J178))</f>
        <v>0</v>
      </c>
      <c r="L178" s="8">
        <f t="shared" si="153"/>
        <v>0</v>
      </c>
      <c r="M178" s="8">
        <f t="shared" si="164"/>
        <v>121331.7966</v>
      </c>
      <c r="N178" s="8">
        <f t="shared" si="165"/>
        <v>0</v>
      </c>
      <c r="O178" s="8">
        <f t="shared" si="166"/>
        <v>0</v>
      </c>
      <c r="P178" s="8">
        <f t="shared" si="154"/>
        <v>0</v>
      </c>
      <c r="Q178" s="95">
        <f>D178-J178-IF(C178=0,0,Inputs!$B$18)-P178</f>
        <v>-6338.974576</v>
      </c>
      <c r="R178" s="8">
        <f>MAX(0,Q178-M178)*Inputs!$B$17</f>
        <v>0</v>
      </c>
      <c r="S178" s="8">
        <f t="shared" si="155"/>
        <v>127670.7712</v>
      </c>
      <c r="T178" s="95">
        <f t="shared" si="156"/>
        <v>127317.9588</v>
      </c>
      <c r="U178" s="8">
        <f>IF(AND(Inputs!$B$79=1,B178="OPEN",A178&gt;=Inputs!$B$82,C178&gt;=$D$10,MOD(C178-$D$10,$D$9)=0),MIN(MAX(0,T178-$D$8)*Inputs!$B$81,MAX(0,H178+J178-K178)),0)</f>
        <v>0</v>
      </c>
      <c r="V178" s="8">
        <f>IF(AND(Inputs!$B$79=1,B178="OPEN",A178&gt;=Inputs!$B$82,C178&gt;=$D$10,MOD(C178-$D$10,$D$9)=0),MIN(MAX(0,MAX(0,T178-$D$8)*Inputs!$B$81-U178),MAX(0,G178-I178)),0)</f>
        <v>0</v>
      </c>
      <c r="W178" s="8">
        <f t="shared" si="157"/>
        <v>240000</v>
      </c>
      <c r="X178" s="8">
        <f t="shared" si="158"/>
        <v>900000</v>
      </c>
      <c r="Y178" s="8">
        <f t="shared" si="159"/>
        <v>1140000</v>
      </c>
      <c r="Z178" s="95">
        <f t="shared" si="160"/>
        <v>127317.9588</v>
      </c>
    </row>
    <row r="179">
      <c r="A179" s="8">
        <f t="shared" si="161"/>
        <v>8</v>
      </c>
      <c r="B179" s="96" t="str">
        <f t="array" ref="B179">INDEX('Monthly Base'!$B$5:$B$67,A179+1)</f>
        <v>OPEN</v>
      </c>
      <c r="C179" s="96">
        <f t="array" ref="C179">INDEX('Monthly Base'!$C$5:$C$67,A179+1)</f>
        <v>6</v>
      </c>
      <c r="D179" s="95">
        <f t="array" ref="D179">INDEX('Monthly Base'!$O$5:$O$67,A179+1)</f>
        <v>4028.79661</v>
      </c>
      <c r="E179" s="95">
        <f t="array" ref="E179">INDEX('Monthly Base'!$Y$5:$Y$67,A179+1)</f>
        <v>0</v>
      </c>
      <c r="F179" s="95">
        <f t="shared" si="162"/>
        <v>127317.9588</v>
      </c>
      <c r="G179" s="8">
        <f t="shared" ref="G179:H179" si="172">W178</f>
        <v>240000</v>
      </c>
      <c r="H179" s="8">
        <f t="shared" si="172"/>
        <v>900000</v>
      </c>
      <c r="I179" s="8">
        <f>IF(OR(A179&lt;Inputs!$B$15,G179&lt;=0),0,MIN(Financing!$B$10,G179))</f>
        <v>0</v>
      </c>
      <c r="J179" s="8">
        <f>IF(OR(A179&lt;Inputs!$B$15,H179&lt;=0),0,H179*Inputs!$B$13/12)</f>
        <v>0</v>
      </c>
      <c r="K179" s="8">
        <f>IF(OR(A179&lt;Inputs!$B$15,H179&lt;=0),0,MIN(Financing!$C$10,H179+J179))</f>
        <v>0</v>
      </c>
      <c r="L179" s="8">
        <f t="shared" si="153"/>
        <v>0</v>
      </c>
      <c r="M179" s="8">
        <f t="shared" si="164"/>
        <v>127670.7712</v>
      </c>
      <c r="N179" s="8">
        <f t="shared" si="165"/>
        <v>0</v>
      </c>
      <c r="O179" s="8">
        <f t="shared" si="166"/>
        <v>0</v>
      </c>
      <c r="P179" s="8">
        <f t="shared" si="154"/>
        <v>0</v>
      </c>
      <c r="Q179" s="95">
        <f>D179-J179-IF(C179=0,0,Inputs!$B$18)-P179</f>
        <v>-2784.20339</v>
      </c>
      <c r="R179" s="8">
        <f>MAX(0,Q179-M179)*Inputs!$B$17</f>
        <v>0</v>
      </c>
      <c r="S179" s="8">
        <f t="shared" si="155"/>
        <v>130454.9746</v>
      </c>
      <c r="T179" s="95">
        <f t="shared" si="156"/>
        <v>131346.7554</v>
      </c>
      <c r="U179" s="8">
        <f>IF(AND(Inputs!$B$79=1,B179="OPEN",A179&gt;=Inputs!$B$82,C179&gt;=$D$10,MOD(C179-$D$10,$D$9)=0),MIN(MAX(0,T179-$D$8)*Inputs!$B$81,MAX(0,H179+J179-K179)),0)</f>
        <v>0</v>
      </c>
      <c r="V179" s="8">
        <f>IF(AND(Inputs!$B$79=1,B179="OPEN",A179&gt;=Inputs!$B$82,C179&gt;=$D$10,MOD(C179-$D$10,$D$9)=0),MIN(MAX(0,MAX(0,T179-$D$8)*Inputs!$B$81-U179),MAX(0,G179-I179)),0)</f>
        <v>0</v>
      </c>
      <c r="W179" s="8">
        <f t="shared" si="157"/>
        <v>240000</v>
      </c>
      <c r="X179" s="8">
        <f t="shared" si="158"/>
        <v>900000</v>
      </c>
      <c r="Y179" s="8">
        <f t="shared" si="159"/>
        <v>1140000</v>
      </c>
      <c r="Z179" s="95">
        <f t="shared" si="160"/>
        <v>131346.7554</v>
      </c>
    </row>
    <row r="180">
      <c r="A180" s="8">
        <f t="shared" si="161"/>
        <v>9</v>
      </c>
      <c r="B180" s="96" t="str">
        <f t="array" ref="B180">INDEX('Monthly Base'!$B$5:$B$67,A180+1)</f>
        <v>OPEN</v>
      </c>
      <c r="C180" s="96">
        <f t="array" ref="C180">INDEX('Monthly Base'!$C$5:$C$67,A180+1)</f>
        <v>7</v>
      </c>
      <c r="D180" s="95">
        <f t="array" ref="D180">INDEX('Monthly Base'!$O$5:$O$67,A180+1)</f>
        <v>7770.661017</v>
      </c>
      <c r="E180" s="95">
        <f t="array" ref="E180">INDEX('Monthly Base'!$Y$5:$Y$67,A180+1)</f>
        <v>0</v>
      </c>
      <c r="F180" s="95">
        <f t="shared" si="162"/>
        <v>131346.7554</v>
      </c>
      <c r="G180" s="8">
        <f t="shared" ref="G180:H180" si="173">W179</f>
        <v>240000</v>
      </c>
      <c r="H180" s="8">
        <f t="shared" si="173"/>
        <v>900000</v>
      </c>
      <c r="I180" s="8">
        <f>IF(OR(A180&lt;Inputs!$B$15,G180&lt;=0),0,MIN(Financing!$B$10,G180))</f>
        <v>0</v>
      </c>
      <c r="J180" s="8">
        <f>IF(OR(A180&lt;Inputs!$B$15,H180&lt;=0),0,H180*Inputs!$B$13/12)</f>
        <v>0</v>
      </c>
      <c r="K180" s="8">
        <f>IF(OR(A180&lt;Inputs!$B$15,H180&lt;=0),0,MIN(Financing!$C$10,H180+J180))</f>
        <v>0</v>
      </c>
      <c r="L180" s="8">
        <f t="shared" si="153"/>
        <v>0</v>
      </c>
      <c r="M180" s="8">
        <f t="shared" si="164"/>
        <v>130454.9746</v>
      </c>
      <c r="N180" s="8">
        <f t="shared" si="165"/>
        <v>10000</v>
      </c>
      <c r="O180" s="8">
        <f t="shared" si="166"/>
        <v>10000</v>
      </c>
      <c r="P180" s="8">
        <f t="shared" si="154"/>
        <v>24000</v>
      </c>
      <c r="Q180" s="95">
        <f>D180-J180-IF(C180=0,0,Inputs!$B$18)-P180</f>
        <v>-23042.33898</v>
      </c>
      <c r="R180" s="8">
        <f>MAX(0,Q180-M180)*Inputs!$B$17</f>
        <v>0</v>
      </c>
      <c r="S180" s="8">
        <f t="shared" si="155"/>
        <v>153497.3136</v>
      </c>
      <c r="T180" s="95">
        <f t="shared" si="156"/>
        <v>115117.4164</v>
      </c>
      <c r="U180" s="8">
        <f>IF(AND(Inputs!$B$79=1,B180="OPEN",A180&gt;=Inputs!$B$82,C180&gt;=$D$10,MOD(C180-$D$10,$D$9)=0),MIN(MAX(0,T180-$D$8)*Inputs!$B$81,MAX(0,H180+J180-K180)),0)</f>
        <v>0</v>
      </c>
      <c r="V180" s="8">
        <f>IF(AND(Inputs!$B$79=1,B180="OPEN",A180&gt;=Inputs!$B$82,C180&gt;=$D$10,MOD(C180-$D$10,$D$9)=0),MIN(MAX(0,MAX(0,T180-$D$8)*Inputs!$B$81-U180),MAX(0,G180-I180)),0)</f>
        <v>0</v>
      </c>
      <c r="W180" s="8">
        <f t="shared" si="157"/>
        <v>240000</v>
      </c>
      <c r="X180" s="8">
        <f t="shared" si="158"/>
        <v>900000</v>
      </c>
      <c r="Y180" s="8">
        <f t="shared" si="159"/>
        <v>1140000</v>
      </c>
      <c r="Z180" s="95">
        <f t="shared" si="160"/>
        <v>115117.4164</v>
      </c>
    </row>
    <row r="181">
      <c r="A181" s="8">
        <f t="shared" si="161"/>
        <v>10</v>
      </c>
      <c r="B181" s="96" t="str">
        <f t="array" ref="B181">INDEX('Monthly Base'!$B$5:$B$67,A181+1)</f>
        <v>OPEN</v>
      </c>
      <c r="C181" s="96">
        <f t="array" ref="C181">INDEX('Monthly Base'!$C$5:$C$67,A181+1)</f>
        <v>8</v>
      </c>
      <c r="D181" s="95">
        <f t="array" ref="D181">INDEX('Monthly Base'!$O$5:$O$67,A181+1)</f>
        <v>11325.4322</v>
      </c>
      <c r="E181" s="95">
        <f t="array" ref="E181">INDEX('Monthly Base'!$Y$5:$Y$67,A181+1)</f>
        <v>0</v>
      </c>
      <c r="F181" s="95">
        <f t="shared" si="162"/>
        <v>115117.4164</v>
      </c>
      <c r="G181" s="8">
        <f t="shared" ref="G181:H181" si="174">W180</f>
        <v>240000</v>
      </c>
      <c r="H181" s="8">
        <f t="shared" si="174"/>
        <v>900000</v>
      </c>
      <c r="I181" s="8">
        <f>IF(OR(A181&lt;Inputs!$B$15,G181&lt;=0),0,MIN(Financing!$B$10,G181))</f>
        <v>0</v>
      </c>
      <c r="J181" s="8">
        <f>IF(OR(A181&lt;Inputs!$B$15,H181&lt;=0),0,H181*Inputs!$B$13/12)</f>
        <v>0</v>
      </c>
      <c r="K181" s="8">
        <f>IF(OR(A181&lt;Inputs!$B$15,H181&lt;=0),0,MIN(Financing!$C$10,H181+J181))</f>
        <v>0</v>
      </c>
      <c r="L181" s="8">
        <f t="shared" si="153"/>
        <v>0</v>
      </c>
      <c r="M181" s="8">
        <f t="shared" si="164"/>
        <v>153497.3136</v>
      </c>
      <c r="N181" s="8">
        <f t="shared" si="165"/>
        <v>10000</v>
      </c>
      <c r="O181" s="8">
        <f t="shared" si="166"/>
        <v>10000</v>
      </c>
      <c r="P181" s="8">
        <f t="shared" si="154"/>
        <v>24000</v>
      </c>
      <c r="Q181" s="95">
        <f>D181-J181-IF(C181=0,0,Inputs!$B$18)-P181</f>
        <v>-19487.5678</v>
      </c>
      <c r="R181" s="8">
        <f>MAX(0,Q181-M181)*Inputs!$B$17</f>
        <v>0</v>
      </c>
      <c r="S181" s="8">
        <f t="shared" si="155"/>
        <v>172984.8814</v>
      </c>
      <c r="T181" s="95">
        <f t="shared" si="156"/>
        <v>102442.8486</v>
      </c>
      <c r="U181" s="8">
        <f>IF(AND(Inputs!$B$79=1,B181="OPEN",A181&gt;=Inputs!$B$82,C181&gt;=$D$10,MOD(C181-$D$10,$D$9)=0),MIN(MAX(0,T181-$D$8)*Inputs!$B$81,MAX(0,H181+J181-K181)),0)</f>
        <v>0</v>
      </c>
      <c r="V181" s="8">
        <f>IF(AND(Inputs!$B$79=1,B181="OPEN",A181&gt;=Inputs!$B$82,C181&gt;=$D$10,MOD(C181-$D$10,$D$9)=0),MIN(MAX(0,MAX(0,T181-$D$8)*Inputs!$B$81-U181),MAX(0,G181-I181)),0)</f>
        <v>0</v>
      </c>
      <c r="W181" s="8">
        <f t="shared" si="157"/>
        <v>240000</v>
      </c>
      <c r="X181" s="8">
        <f t="shared" si="158"/>
        <v>900000</v>
      </c>
      <c r="Y181" s="8">
        <f t="shared" si="159"/>
        <v>1140000</v>
      </c>
      <c r="Z181" s="95">
        <f t="shared" si="160"/>
        <v>102442.8486</v>
      </c>
    </row>
    <row r="182">
      <c r="A182" s="8">
        <f t="shared" si="161"/>
        <v>11</v>
      </c>
      <c r="B182" s="96" t="str">
        <f t="array" ref="B182">INDEX('Monthly Base'!$B$5:$B$67,A182+1)</f>
        <v>OPEN</v>
      </c>
      <c r="C182" s="96">
        <f t="array" ref="C182">INDEX('Monthly Base'!$C$5:$C$67,A182+1)</f>
        <v>9</v>
      </c>
      <c r="D182" s="95">
        <f t="array" ref="D182">INDEX('Monthly Base'!$O$5:$O$67,A182+1)</f>
        <v>14880.20339</v>
      </c>
      <c r="E182" s="95">
        <f t="array" ref="E182">INDEX('Monthly Base'!$Y$5:$Y$67,A182+1)</f>
        <v>0</v>
      </c>
      <c r="F182" s="95">
        <f t="shared" si="162"/>
        <v>102442.8486</v>
      </c>
      <c r="G182" s="8">
        <f t="shared" ref="G182:H182" si="175">W181</f>
        <v>240000</v>
      </c>
      <c r="H182" s="8">
        <f t="shared" si="175"/>
        <v>900000</v>
      </c>
      <c r="I182" s="8">
        <f>IF(OR(A182&lt;Inputs!$B$15,G182&lt;=0),0,MIN(Financing!$B$10,G182))</f>
        <v>0</v>
      </c>
      <c r="J182" s="8">
        <f>IF(OR(A182&lt;Inputs!$B$15,H182&lt;=0),0,H182*Inputs!$B$13/12)</f>
        <v>0</v>
      </c>
      <c r="K182" s="8">
        <f>IF(OR(A182&lt;Inputs!$B$15,H182&lt;=0),0,MIN(Financing!$C$10,H182+J182))</f>
        <v>0</v>
      </c>
      <c r="L182" s="8">
        <f t="shared" si="153"/>
        <v>0</v>
      </c>
      <c r="M182" s="8">
        <f t="shared" si="164"/>
        <v>172984.8814</v>
      </c>
      <c r="N182" s="8">
        <f t="shared" si="165"/>
        <v>10000</v>
      </c>
      <c r="O182" s="8">
        <f t="shared" si="166"/>
        <v>10000</v>
      </c>
      <c r="P182" s="8">
        <f t="shared" si="154"/>
        <v>24000</v>
      </c>
      <c r="Q182" s="95">
        <f>D182-J182-IF(C182=0,0,Inputs!$B$18)-P182</f>
        <v>-15932.79661</v>
      </c>
      <c r="R182" s="8">
        <f>MAX(0,Q182-M182)*Inputs!$B$17</f>
        <v>0</v>
      </c>
      <c r="S182" s="8">
        <f t="shared" si="155"/>
        <v>188917.678</v>
      </c>
      <c r="T182" s="95">
        <f t="shared" si="156"/>
        <v>93323.05203</v>
      </c>
      <c r="U182" s="8">
        <f>IF(AND(Inputs!$B$79=1,B182="OPEN",A182&gt;=Inputs!$B$82,C182&gt;=$D$10,MOD(C182-$D$10,$D$9)=0),MIN(MAX(0,T182-$D$8)*Inputs!$B$81,MAX(0,H182+J182-K182)),0)</f>
        <v>0</v>
      </c>
      <c r="V182" s="8">
        <f>IF(AND(Inputs!$B$79=1,B182="OPEN",A182&gt;=Inputs!$B$82,C182&gt;=$D$10,MOD(C182-$D$10,$D$9)=0),MIN(MAX(0,MAX(0,T182-$D$8)*Inputs!$B$81-U182),MAX(0,G182-I182)),0)</f>
        <v>0</v>
      </c>
      <c r="W182" s="8">
        <f t="shared" si="157"/>
        <v>240000</v>
      </c>
      <c r="X182" s="8">
        <f t="shared" si="158"/>
        <v>900000</v>
      </c>
      <c r="Y182" s="8">
        <f t="shared" si="159"/>
        <v>1140000</v>
      </c>
      <c r="Z182" s="95">
        <f t="shared" si="160"/>
        <v>93323.05203</v>
      </c>
    </row>
    <row r="183">
      <c r="A183" s="8">
        <f t="shared" si="161"/>
        <v>12</v>
      </c>
      <c r="B183" s="96" t="str">
        <f t="array" ref="B183">INDEX('Monthly Base'!$B$5:$B$67,A183+1)</f>
        <v>OPEN</v>
      </c>
      <c r="C183" s="96">
        <f t="array" ref="C183">INDEX('Monthly Base'!$C$5:$C$67,A183+1)</f>
        <v>10</v>
      </c>
      <c r="D183" s="95">
        <f t="array" ref="D183">INDEX('Monthly Base'!$O$5:$O$67,A183+1)</f>
        <v>18434.97458</v>
      </c>
      <c r="E183" s="95">
        <f t="array" ref="E183">INDEX('Monthly Base'!$Y$5:$Y$67,A183+1)</f>
        <v>0</v>
      </c>
      <c r="F183" s="95">
        <f t="shared" si="162"/>
        <v>93323.05203</v>
      </c>
      <c r="G183" s="8">
        <f t="shared" ref="G183:H183" si="176">W182</f>
        <v>240000</v>
      </c>
      <c r="H183" s="8">
        <f t="shared" si="176"/>
        <v>900000</v>
      </c>
      <c r="I183" s="95">
        <f>IF(OR(A183&lt;Inputs!$B$15,G183&lt;=0),0,MIN(Financing!$B$10,G183))</f>
        <v>4000</v>
      </c>
      <c r="J183" s="8">
        <f>IF(OR(A183&lt;Inputs!$B$15,H183&lt;=0),0,H183*Inputs!$B$13/12)</f>
        <v>3562.5</v>
      </c>
      <c r="K183" s="95">
        <f>IF(OR(A183&lt;Inputs!$B$15,H183&lt;=0),0,MIN(Financing!$C$10,H183+J183))</f>
        <v>16881.22078</v>
      </c>
      <c r="L183" s="95">
        <f t="shared" si="153"/>
        <v>20881.22078</v>
      </c>
      <c r="M183" s="8">
        <f t="shared" si="164"/>
        <v>188917.678</v>
      </c>
      <c r="N183" s="8">
        <f t="shared" si="165"/>
        <v>10000</v>
      </c>
      <c r="O183" s="8">
        <f t="shared" si="166"/>
        <v>10000</v>
      </c>
      <c r="P183" s="8">
        <f t="shared" si="154"/>
        <v>24000</v>
      </c>
      <c r="Q183" s="95">
        <f>D183-J183-IF(C183=0,0,Inputs!$B$18)-P183</f>
        <v>-15940.52542</v>
      </c>
      <c r="R183" s="8">
        <f>MAX(0,Q183-M183)*Inputs!$B$17</f>
        <v>0</v>
      </c>
      <c r="S183" s="8">
        <f t="shared" si="155"/>
        <v>204858.2034</v>
      </c>
      <c r="T183" s="95">
        <f t="shared" si="156"/>
        <v>66876.80583</v>
      </c>
      <c r="U183" s="8">
        <f>IF(AND(Inputs!$B$79=1,B183="OPEN",A183&gt;=Inputs!$B$82,C183&gt;=$D$10,MOD(C183-$D$10,$D$9)=0),MIN(MAX(0,T183-$D$8)*Inputs!$B$81,MAX(0,H183+J183-K183)),0)</f>
        <v>0</v>
      </c>
      <c r="V183" s="8">
        <f>IF(AND(Inputs!$B$79=1,B183="OPEN",A183&gt;=Inputs!$B$82,C183&gt;=$D$10,MOD(C183-$D$10,$D$9)=0),MIN(MAX(0,MAX(0,T183-$D$8)*Inputs!$B$81-U183),MAX(0,G183-I183)),0)</f>
        <v>0</v>
      </c>
      <c r="W183" s="8">
        <f t="shared" si="157"/>
        <v>236000</v>
      </c>
      <c r="X183" s="8">
        <f t="shared" si="158"/>
        <v>886681.2792</v>
      </c>
      <c r="Y183" s="8">
        <f t="shared" si="159"/>
        <v>1122681.279</v>
      </c>
      <c r="Z183" s="95">
        <f t="shared" si="160"/>
        <v>66876.80583</v>
      </c>
    </row>
    <row r="184">
      <c r="A184" s="8">
        <f t="shared" si="161"/>
        <v>13</v>
      </c>
      <c r="B184" s="96" t="str">
        <f t="array" ref="B184">INDEX('Monthly Base'!$B$5:$B$67,A184+1)</f>
        <v>OPEN</v>
      </c>
      <c r="C184" s="96">
        <f t="array" ref="C184">INDEX('Monthly Base'!$C$5:$C$67,A184+1)</f>
        <v>11</v>
      </c>
      <c r="D184" s="95">
        <f t="array" ref="D184">INDEX('Monthly Base'!$O$5:$O$67,A184+1)</f>
        <v>22176.83898</v>
      </c>
      <c r="E184" s="95">
        <f t="array" ref="E184">INDEX('Monthly Base'!$Y$5:$Y$67,A184+1)</f>
        <v>0</v>
      </c>
      <c r="F184" s="95">
        <f t="shared" si="162"/>
        <v>66876.80583</v>
      </c>
      <c r="G184" s="8">
        <f t="shared" ref="G184:H184" si="177">W183</f>
        <v>236000</v>
      </c>
      <c r="H184" s="8">
        <f t="shared" si="177"/>
        <v>886681.2792</v>
      </c>
      <c r="I184" s="95">
        <f>IF(OR(A184&lt;Inputs!$B$15,G184&lt;=0),0,MIN(Financing!$B$10,G184))</f>
        <v>4000</v>
      </c>
      <c r="J184" s="8">
        <f>IF(OR(A184&lt;Inputs!$B$15,H184&lt;=0),0,H184*Inputs!$B$13/12)</f>
        <v>3509.780064</v>
      </c>
      <c r="K184" s="95">
        <f>IF(OR(A184&lt;Inputs!$B$15,H184&lt;=0),0,MIN(Financing!$C$10,H184+J184))</f>
        <v>16881.22078</v>
      </c>
      <c r="L184" s="95">
        <f t="shared" si="153"/>
        <v>20881.22078</v>
      </c>
      <c r="M184" s="8">
        <f t="shared" si="164"/>
        <v>204858.2034</v>
      </c>
      <c r="N184" s="8">
        <f t="shared" si="165"/>
        <v>10000</v>
      </c>
      <c r="O184" s="8">
        <f t="shared" si="166"/>
        <v>10000</v>
      </c>
      <c r="P184" s="8">
        <f t="shared" si="154"/>
        <v>24000</v>
      </c>
      <c r="Q184" s="95">
        <f>D184-J184-IF(C184=0,0,Inputs!$B$18)-P184</f>
        <v>-12145.94108</v>
      </c>
      <c r="R184" s="8">
        <f>MAX(0,Q184-M184)*Inputs!$B$17</f>
        <v>0</v>
      </c>
      <c r="S184" s="8">
        <f t="shared" si="155"/>
        <v>217004.1445</v>
      </c>
      <c r="T184" s="95">
        <f t="shared" si="156"/>
        <v>44172.42403</v>
      </c>
      <c r="U184" s="8">
        <f>IF(AND(Inputs!$B$79=1,B184="OPEN",A184&gt;=Inputs!$B$82,C184&gt;=$D$10,MOD(C184-$D$10,$D$9)=0),MIN(MAX(0,T184-$D$8)*Inputs!$B$81,MAX(0,H184+J184-K184)),0)</f>
        <v>0</v>
      </c>
      <c r="V184" s="8">
        <f>IF(AND(Inputs!$B$79=1,B184="OPEN",A184&gt;=Inputs!$B$82,C184&gt;=$D$10,MOD(C184-$D$10,$D$9)=0),MIN(MAX(0,MAX(0,T184-$D$8)*Inputs!$B$81-U184),MAX(0,G184-I184)),0)</f>
        <v>0</v>
      </c>
      <c r="W184" s="8">
        <f t="shared" si="157"/>
        <v>232000</v>
      </c>
      <c r="X184" s="8">
        <f t="shared" si="158"/>
        <v>873309.8385</v>
      </c>
      <c r="Y184" s="8">
        <f t="shared" si="159"/>
        <v>1105309.839</v>
      </c>
      <c r="Z184" s="95">
        <f t="shared" si="160"/>
        <v>44172.42403</v>
      </c>
    </row>
    <row r="185">
      <c r="A185" s="8">
        <f t="shared" si="161"/>
        <v>14</v>
      </c>
      <c r="B185" s="96" t="str">
        <f t="array" ref="B185">INDEX('Monthly Base'!$B$5:$B$67,A185+1)</f>
        <v>OPEN</v>
      </c>
      <c r="C185" s="96">
        <f t="array" ref="C185">INDEX('Monthly Base'!$C$5:$C$67,A185+1)</f>
        <v>12</v>
      </c>
      <c r="D185" s="95">
        <f t="array" ref="D185">INDEX('Monthly Base'!$O$5:$O$67,A185+1)</f>
        <v>25731.61017</v>
      </c>
      <c r="E185" s="95">
        <f t="array" ref="E185">INDEX('Monthly Base'!$Y$5:$Y$67,A185+1)</f>
        <v>0</v>
      </c>
      <c r="F185" s="95">
        <f t="shared" si="162"/>
        <v>44172.42403</v>
      </c>
      <c r="G185" s="8">
        <f t="shared" ref="G185:H185" si="178">W184</f>
        <v>232000</v>
      </c>
      <c r="H185" s="8">
        <f t="shared" si="178"/>
        <v>873309.8385</v>
      </c>
      <c r="I185" s="95">
        <f>IF(OR(A185&lt;Inputs!$B$15,G185&lt;=0),0,MIN(Financing!$B$10,G185))</f>
        <v>4000</v>
      </c>
      <c r="J185" s="8">
        <f>IF(OR(A185&lt;Inputs!$B$15,H185&lt;=0),0,H185*Inputs!$B$13/12)</f>
        <v>3456.851444</v>
      </c>
      <c r="K185" s="95">
        <f>IF(OR(A185&lt;Inputs!$B$15,H185&lt;=0),0,MIN(Financing!$C$10,H185+J185))</f>
        <v>16881.22078</v>
      </c>
      <c r="L185" s="95">
        <f t="shared" si="153"/>
        <v>20881.22078</v>
      </c>
      <c r="M185" s="8">
        <f t="shared" si="164"/>
        <v>217004.1445</v>
      </c>
      <c r="N185" s="8">
        <f t="shared" si="165"/>
        <v>10000</v>
      </c>
      <c r="O185" s="8">
        <f t="shared" si="166"/>
        <v>10000</v>
      </c>
      <c r="P185" s="8">
        <f t="shared" si="154"/>
        <v>24000</v>
      </c>
      <c r="Q185" s="95">
        <f>D185-J185-IF(C185=0,0,Inputs!$B$18)-P185</f>
        <v>-8538.241275</v>
      </c>
      <c r="R185" s="8">
        <f>MAX(0,Q185-M185)*Inputs!$B$17</f>
        <v>0</v>
      </c>
      <c r="S185" s="8">
        <f t="shared" si="155"/>
        <v>225542.3857</v>
      </c>
      <c r="T185" s="95">
        <f t="shared" si="156"/>
        <v>25022.81342</v>
      </c>
      <c r="U185" s="8">
        <f>IF(AND(Inputs!$B$79=1,B185="OPEN",A185&gt;=Inputs!$B$82,C185&gt;=$D$10,MOD(C185-$D$10,$D$9)=0),MIN(MAX(0,T185-$D$8)*Inputs!$B$81,MAX(0,H185+J185-K185)),0)</f>
        <v>0</v>
      </c>
      <c r="V185" s="8">
        <f>IF(AND(Inputs!$B$79=1,B185="OPEN",A185&gt;=Inputs!$B$82,C185&gt;=$D$10,MOD(C185-$D$10,$D$9)=0),MIN(MAX(0,MAX(0,T185-$D$8)*Inputs!$B$81-U185),MAX(0,G185-I185)),0)</f>
        <v>0</v>
      </c>
      <c r="W185" s="8">
        <f t="shared" si="157"/>
        <v>228000</v>
      </c>
      <c r="X185" s="8">
        <f t="shared" si="158"/>
        <v>859885.4692</v>
      </c>
      <c r="Y185" s="8">
        <f t="shared" si="159"/>
        <v>1087885.469</v>
      </c>
      <c r="Z185" s="95">
        <f t="shared" si="160"/>
        <v>25022.81342</v>
      </c>
    </row>
    <row r="186">
      <c r="A186" s="8">
        <f t="shared" si="161"/>
        <v>15</v>
      </c>
      <c r="B186" s="96" t="str">
        <f t="array" ref="B186">INDEX('Monthly Base'!$B$5:$B$67,A186+1)</f>
        <v>OPEN</v>
      </c>
      <c r="C186" s="96">
        <f t="array" ref="C186">INDEX('Monthly Base'!$C$5:$C$67,A186+1)</f>
        <v>13</v>
      </c>
      <c r="D186" s="95">
        <f t="array" ref="D186">INDEX('Monthly Base'!$O$5:$O$67,A186+1)</f>
        <v>28163.82203</v>
      </c>
      <c r="E186" s="95">
        <f t="array" ref="E186">INDEX('Monthly Base'!$Y$5:$Y$67,A186+1)</f>
        <v>0</v>
      </c>
      <c r="F186" s="95">
        <f t="shared" si="162"/>
        <v>25022.81342</v>
      </c>
      <c r="G186" s="8">
        <f t="shared" ref="G186:H186" si="179">W185</f>
        <v>228000</v>
      </c>
      <c r="H186" s="8">
        <f t="shared" si="179"/>
        <v>859885.4692</v>
      </c>
      <c r="I186" s="95">
        <f>IF(OR(A186&lt;Inputs!$B$15,G186&lt;=0),0,MIN(Financing!$B$10,G186))</f>
        <v>4000</v>
      </c>
      <c r="J186" s="8">
        <f>IF(OR(A186&lt;Inputs!$B$15,H186&lt;=0),0,H186*Inputs!$B$13/12)</f>
        <v>3403.713315</v>
      </c>
      <c r="K186" s="95">
        <f>IF(OR(A186&lt;Inputs!$B$15,H186&lt;=0),0,MIN(Financing!$C$10,H186+J186))</f>
        <v>16881.22078</v>
      </c>
      <c r="L186" s="95">
        <f t="shared" si="153"/>
        <v>20881.22078</v>
      </c>
      <c r="M186" s="8">
        <f t="shared" si="164"/>
        <v>225542.3857</v>
      </c>
      <c r="N186" s="8">
        <f t="shared" si="165"/>
        <v>10000</v>
      </c>
      <c r="O186" s="8">
        <f t="shared" si="166"/>
        <v>10000</v>
      </c>
      <c r="P186" s="8">
        <f t="shared" si="154"/>
        <v>24000</v>
      </c>
      <c r="Q186" s="95">
        <f>D186-J186-IF(C186=0,0,Inputs!$B$18)-P186</f>
        <v>-6052.891282</v>
      </c>
      <c r="R186" s="8">
        <f>MAX(0,Q186-M186)*Inputs!$B$17</f>
        <v>0</v>
      </c>
      <c r="S186" s="8">
        <f t="shared" si="155"/>
        <v>231595.277</v>
      </c>
      <c r="T186" s="95">
        <f t="shared" si="156"/>
        <v>8305.414672</v>
      </c>
      <c r="U186" s="8">
        <f>IF(AND(Inputs!$B$79=1,B186="OPEN",A186&gt;=Inputs!$B$82,C186&gt;=$D$10,MOD(C186-$D$10,$D$9)=0),MIN(MAX(0,T186-$D$8)*Inputs!$B$81,MAX(0,H186+J186-K186)),0)</f>
        <v>0</v>
      </c>
      <c r="V186" s="8">
        <f>IF(AND(Inputs!$B$79=1,B186="OPEN",A186&gt;=Inputs!$B$82,C186&gt;=$D$10,MOD(C186-$D$10,$D$9)=0),MIN(MAX(0,MAX(0,T186-$D$8)*Inputs!$B$81-U186),MAX(0,G186-I186)),0)</f>
        <v>0</v>
      </c>
      <c r="W186" s="8">
        <f t="shared" si="157"/>
        <v>224000</v>
      </c>
      <c r="X186" s="8">
        <f t="shared" si="158"/>
        <v>846407.9617</v>
      </c>
      <c r="Y186" s="8">
        <f t="shared" si="159"/>
        <v>1070407.962</v>
      </c>
      <c r="Z186" s="95">
        <f t="shared" si="160"/>
        <v>8305.414672</v>
      </c>
    </row>
    <row r="187">
      <c r="A187" s="8">
        <f t="shared" si="161"/>
        <v>16</v>
      </c>
      <c r="B187" s="96" t="str">
        <f t="array" ref="B187">INDEX('Monthly Base'!$B$5:$B$67,A187+1)</f>
        <v>OPEN</v>
      </c>
      <c r="C187" s="96">
        <f t="array" ref="C187">INDEX('Monthly Base'!$C$5:$C$67,A187+1)</f>
        <v>14</v>
      </c>
      <c r="D187" s="95">
        <f t="array" ref="D187">INDEX('Monthly Base'!$O$5:$O$67,A187+1)</f>
        <v>30408.94068</v>
      </c>
      <c r="E187" s="95">
        <f t="array" ref="E187">INDEX('Monthly Base'!$Y$5:$Y$67,A187+1)</f>
        <v>0</v>
      </c>
      <c r="F187" s="95">
        <f t="shared" si="162"/>
        <v>8305.414672</v>
      </c>
      <c r="G187" s="8">
        <f t="shared" ref="G187:H187" si="180">W186</f>
        <v>224000</v>
      </c>
      <c r="H187" s="8">
        <f t="shared" si="180"/>
        <v>846407.9617</v>
      </c>
      <c r="I187" s="95">
        <f>IF(OR(A187&lt;Inputs!$B$15,G187&lt;=0),0,MIN(Financing!$B$10,G187))</f>
        <v>4000</v>
      </c>
      <c r="J187" s="8">
        <f>IF(OR(A187&lt;Inputs!$B$15,H187&lt;=0),0,H187*Inputs!$B$13/12)</f>
        <v>3350.364848</v>
      </c>
      <c r="K187" s="95">
        <f>IF(OR(A187&lt;Inputs!$B$15,H187&lt;=0),0,MIN(Financing!$C$10,H187+J187))</f>
        <v>16881.22078</v>
      </c>
      <c r="L187" s="95">
        <f t="shared" si="153"/>
        <v>20881.22078</v>
      </c>
      <c r="M187" s="8">
        <f t="shared" si="164"/>
        <v>231595.277</v>
      </c>
      <c r="N187" s="8">
        <f t="shared" si="165"/>
        <v>10000</v>
      </c>
      <c r="O187" s="8">
        <f t="shared" si="166"/>
        <v>10000</v>
      </c>
      <c r="P187" s="8">
        <f t="shared" si="154"/>
        <v>24000</v>
      </c>
      <c r="Q187" s="95">
        <f>D187-J187-IF(C187=0,0,Inputs!$B$18)-P187</f>
        <v>-3754.42417</v>
      </c>
      <c r="R187" s="8">
        <f>MAX(0,Q187-M187)*Inputs!$B$17</f>
        <v>0</v>
      </c>
      <c r="S187" s="8">
        <f t="shared" si="155"/>
        <v>235349.7012</v>
      </c>
      <c r="T187" s="95">
        <f t="shared" si="156"/>
        <v>-6166.865431</v>
      </c>
      <c r="U187" s="8">
        <f>IF(AND(Inputs!$B$79=1,B187="OPEN",A187&gt;=Inputs!$B$82,C187&gt;=$D$10,MOD(C187-$D$10,$D$9)=0),MIN(MAX(0,T187-$D$8)*Inputs!$B$81,MAX(0,H187+J187-K187)),0)</f>
        <v>0</v>
      </c>
      <c r="V187" s="8">
        <f>IF(AND(Inputs!$B$79=1,B187="OPEN",A187&gt;=Inputs!$B$82,C187&gt;=$D$10,MOD(C187-$D$10,$D$9)=0),MIN(MAX(0,MAX(0,T187-$D$8)*Inputs!$B$81-U187),MAX(0,G187-I187)),0)</f>
        <v>0</v>
      </c>
      <c r="W187" s="8">
        <f t="shared" si="157"/>
        <v>220000</v>
      </c>
      <c r="X187" s="8">
        <f t="shared" si="158"/>
        <v>832877.1058</v>
      </c>
      <c r="Y187" s="8">
        <f t="shared" si="159"/>
        <v>1052877.106</v>
      </c>
      <c r="Z187" s="95">
        <f t="shared" si="160"/>
        <v>-6166.865431</v>
      </c>
    </row>
    <row r="188">
      <c r="A188" s="8">
        <f t="shared" si="161"/>
        <v>17</v>
      </c>
      <c r="B188" s="96" t="str">
        <f t="array" ref="B188">INDEX('Monthly Base'!$B$5:$B$67,A188+1)</f>
        <v>OPEN</v>
      </c>
      <c r="C188" s="96">
        <f t="array" ref="C188">INDEX('Monthly Base'!$C$5:$C$67,A188+1)</f>
        <v>15</v>
      </c>
      <c r="D188" s="95">
        <f t="array" ref="D188">INDEX('Monthly Base'!$O$5:$O$67,A188+1)</f>
        <v>32841.15254</v>
      </c>
      <c r="E188" s="95">
        <f t="array" ref="E188">INDEX('Monthly Base'!$Y$5:$Y$67,A188+1)</f>
        <v>0</v>
      </c>
      <c r="F188" s="95">
        <f t="shared" si="162"/>
        <v>-6166.865431</v>
      </c>
      <c r="G188" s="8">
        <f t="shared" ref="G188:H188" si="181">W187</f>
        <v>220000</v>
      </c>
      <c r="H188" s="8">
        <f t="shared" si="181"/>
        <v>832877.1058</v>
      </c>
      <c r="I188" s="95">
        <f>IF(OR(A188&lt;Inputs!$B$15,G188&lt;=0),0,MIN(Financing!$B$10,G188))</f>
        <v>4000</v>
      </c>
      <c r="J188" s="8">
        <f>IF(OR(A188&lt;Inputs!$B$15,H188&lt;=0),0,H188*Inputs!$B$13/12)</f>
        <v>3296.80521</v>
      </c>
      <c r="K188" s="95">
        <f>IF(OR(A188&lt;Inputs!$B$15,H188&lt;=0),0,MIN(Financing!$C$10,H188+J188))</f>
        <v>16881.22078</v>
      </c>
      <c r="L188" s="95">
        <f t="shared" si="153"/>
        <v>20881.22078</v>
      </c>
      <c r="M188" s="8">
        <f t="shared" si="164"/>
        <v>235349.7012</v>
      </c>
      <c r="N188" s="8">
        <f t="shared" si="165"/>
        <v>10000</v>
      </c>
      <c r="O188" s="8">
        <f t="shared" si="166"/>
        <v>10000</v>
      </c>
      <c r="P188" s="8">
        <f t="shared" si="154"/>
        <v>24000</v>
      </c>
      <c r="Q188" s="95">
        <f>D188-J188-IF(C188=0,0,Inputs!$B$18)-P188</f>
        <v>-1268.652668</v>
      </c>
      <c r="R188" s="8">
        <f>MAX(0,Q188-M188)*Inputs!$B$17</f>
        <v>0</v>
      </c>
      <c r="S188" s="8">
        <f t="shared" si="155"/>
        <v>236618.3539</v>
      </c>
      <c r="T188" s="95">
        <f t="shared" si="156"/>
        <v>-18206.93367</v>
      </c>
      <c r="U188" s="8">
        <f>IF(AND(Inputs!$B$79=1,B188="OPEN",A188&gt;=Inputs!$B$82,C188&gt;=$D$10,MOD(C188-$D$10,$D$9)=0),MIN(MAX(0,T188-$D$8)*Inputs!$B$81,MAX(0,H188+J188-K188)),0)</f>
        <v>0</v>
      </c>
      <c r="V188" s="8">
        <f>IF(AND(Inputs!$B$79=1,B188="OPEN",A188&gt;=Inputs!$B$82,C188&gt;=$D$10,MOD(C188-$D$10,$D$9)=0),MIN(MAX(0,MAX(0,T188-$D$8)*Inputs!$B$81-U188),MAX(0,G188-I188)),0)</f>
        <v>0</v>
      </c>
      <c r="W188" s="8">
        <f t="shared" si="157"/>
        <v>216000</v>
      </c>
      <c r="X188" s="8">
        <f t="shared" si="158"/>
        <v>819292.6902</v>
      </c>
      <c r="Y188" s="8">
        <f t="shared" si="159"/>
        <v>1035292.69</v>
      </c>
      <c r="Z188" s="95">
        <f t="shared" si="160"/>
        <v>-18206.93367</v>
      </c>
    </row>
    <row r="189">
      <c r="A189" s="8">
        <f t="shared" si="161"/>
        <v>18</v>
      </c>
      <c r="B189" s="96" t="str">
        <f t="array" ref="B189">INDEX('Monthly Base'!$B$5:$B$67,A189+1)</f>
        <v>OPEN</v>
      </c>
      <c r="C189" s="96">
        <f t="array" ref="C189">INDEX('Monthly Base'!$C$5:$C$67,A189+1)</f>
        <v>16</v>
      </c>
      <c r="D189" s="95">
        <f t="array" ref="D189">INDEX('Monthly Base'!$O$5:$O$67,A189+1)</f>
        <v>35086.27119</v>
      </c>
      <c r="E189" s="95">
        <f t="array" ref="E189">INDEX('Monthly Base'!$Y$5:$Y$67,A189+1)</f>
        <v>0</v>
      </c>
      <c r="F189" s="95">
        <f t="shared" si="162"/>
        <v>-18206.93367</v>
      </c>
      <c r="G189" s="8">
        <f t="shared" ref="G189:H189" si="182">W188</f>
        <v>216000</v>
      </c>
      <c r="H189" s="8">
        <f t="shared" si="182"/>
        <v>819292.6902</v>
      </c>
      <c r="I189" s="95">
        <f>IF(OR(A189&lt;Inputs!$B$15,G189&lt;=0),0,MIN(Financing!$B$10,G189))</f>
        <v>4000</v>
      </c>
      <c r="J189" s="8">
        <f>IF(OR(A189&lt;Inputs!$B$15,H189&lt;=0),0,H189*Inputs!$B$13/12)</f>
        <v>3243.033565</v>
      </c>
      <c r="K189" s="95">
        <f>IF(OR(A189&lt;Inputs!$B$15,H189&lt;=0),0,MIN(Financing!$C$10,H189+J189))</f>
        <v>16881.22078</v>
      </c>
      <c r="L189" s="95">
        <f t="shared" si="153"/>
        <v>20881.22078</v>
      </c>
      <c r="M189" s="8">
        <f t="shared" si="164"/>
        <v>236618.3539</v>
      </c>
      <c r="N189" s="8">
        <f t="shared" si="165"/>
        <v>10000</v>
      </c>
      <c r="O189" s="8">
        <f t="shared" si="166"/>
        <v>10000</v>
      </c>
      <c r="P189" s="8">
        <f t="shared" si="154"/>
        <v>24000</v>
      </c>
      <c r="Q189" s="95">
        <f>D189-J189-IF(C189=0,0,Inputs!$B$18)-P189</f>
        <v>1030.237621</v>
      </c>
      <c r="R189" s="8">
        <f>MAX(0,Q189-M189)*Inputs!$B$17</f>
        <v>0</v>
      </c>
      <c r="S189" s="8">
        <f t="shared" si="155"/>
        <v>235588.1162</v>
      </c>
      <c r="T189" s="95">
        <f t="shared" si="156"/>
        <v>-28001.88326</v>
      </c>
      <c r="U189" s="8">
        <f>IF(AND(Inputs!$B$79=1,B189="OPEN",A189&gt;=Inputs!$B$82,C189&gt;=$D$10,MOD(C189-$D$10,$D$9)=0),MIN(MAX(0,T189-$D$8)*Inputs!$B$81,MAX(0,H189+J189-K189)),0)</f>
        <v>0</v>
      </c>
      <c r="V189" s="8">
        <f>IF(AND(Inputs!$B$79=1,B189="OPEN",A189&gt;=Inputs!$B$82,C189&gt;=$D$10,MOD(C189-$D$10,$D$9)=0),MIN(MAX(0,MAX(0,T189-$D$8)*Inputs!$B$81-U189),MAX(0,G189-I189)),0)</f>
        <v>0</v>
      </c>
      <c r="W189" s="8">
        <f t="shared" si="157"/>
        <v>212000</v>
      </c>
      <c r="X189" s="8">
        <f t="shared" si="158"/>
        <v>805654.503</v>
      </c>
      <c r="Y189" s="8">
        <f t="shared" si="159"/>
        <v>1017654.503</v>
      </c>
      <c r="Z189" s="95">
        <f t="shared" si="160"/>
        <v>-28001.88326</v>
      </c>
    </row>
    <row r="190">
      <c r="A190" s="8">
        <f t="shared" si="161"/>
        <v>19</v>
      </c>
      <c r="B190" s="96" t="str">
        <f t="array" ref="B190">INDEX('Monthly Base'!$B$5:$B$67,A190+1)</f>
        <v>OPEN</v>
      </c>
      <c r="C190" s="96">
        <f t="array" ref="C190">INDEX('Monthly Base'!$C$5:$C$67,A190+1)</f>
        <v>17</v>
      </c>
      <c r="D190" s="95">
        <f t="array" ref="D190">INDEX('Monthly Base'!$O$5:$O$67,A190+1)</f>
        <v>37518.48305</v>
      </c>
      <c r="E190" s="95">
        <f t="array" ref="E190">INDEX('Monthly Base'!$Y$5:$Y$67,A190+1)</f>
        <v>0</v>
      </c>
      <c r="F190" s="95">
        <f t="shared" si="162"/>
        <v>-28001.88326</v>
      </c>
      <c r="G190" s="8">
        <f t="shared" ref="G190:H190" si="183">W189</f>
        <v>212000</v>
      </c>
      <c r="H190" s="8">
        <f t="shared" si="183"/>
        <v>805654.503</v>
      </c>
      <c r="I190" s="95">
        <f>IF(OR(A190&lt;Inputs!$B$15,G190&lt;=0),0,MIN(Financing!$B$10,G190))</f>
        <v>4000</v>
      </c>
      <c r="J190" s="8">
        <f>IF(OR(A190&lt;Inputs!$B$15,H190&lt;=0),0,H190*Inputs!$B$13/12)</f>
        <v>3189.049074</v>
      </c>
      <c r="K190" s="95">
        <f>IF(OR(A190&lt;Inputs!$B$15,H190&lt;=0),0,MIN(Financing!$C$10,H190+J190))</f>
        <v>16881.22078</v>
      </c>
      <c r="L190" s="95">
        <f t="shared" si="153"/>
        <v>20881.22078</v>
      </c>
      <c r="M190" s="8">
        <f t="shared" si="164"/>
        <v>235588.1162</v>
      </c>
      <c r="N190" s="8">
        <f t="shared" si="165"/>
        <v>10000</v>
      </c>
      <c r="O190" s="8">
        <f t="shared" si="166"/>
        <v>10000</v>
      </c>
      <c r="P190" s="8">
        <f t="shared" si="154"/>
        <v>24000</v>
      </c>
      <c r="Q190" s="95">
        <f>D190-J190-IF(C190=0,0,Inputs!$B$18)-P190</f>
        <v>3516.433977</v>
      </c>
      <c r="R190" s="8">
        <f>MAX(0,Q190-M190)*Inputs!$B$17</f>
        <v>0</v>
      </c>
      <c r="S190" s="8">
        <f t="shared" si="155"/>
        <v>232071.6823</v>
      </c>
      <c r="T190" s="95">
        <f t="shared" si="156"/>
        <v>-35364.621</v>
      </c>
      <c r="U190" s="8">
        <f>IF(AND(Inputs!$B$79=1,B190="OPEN",A190&gt;=Inputs!$B$82,C190&gt;=$D$10,MOD(C190-$D$10,$D$9)=0),MIN(MAX(0,T190-$D$8)*Inputs!$B$81,MAX(0,H190+J190-K190)),0)</f>
        <v>0</v>
      </c>
      <c r="V190" s="8">
        <f>IF(AND(Inputs!$B$79=1,B190="OPEN",A190&gt;=Inputs!$B$82,C190&gt;=$D$10,MOD(C190-$D$10,$D$9)=0),MIN(MAX(0,MAX(0,T190-$D$8)*Inputs!$B$81-U190),MAX(0,G190-I190)),0)</f>
        <v>0</v>
      </c>
      <c r="W190" s="8">
        <f t="shared" si="157"/>
        <v>208000</v>
      </c>
      <c r="X190" s="8">
        <f t="shared" si="158"/>
        <v>791962.3313</v>
      </c>
      <c r="Y190" s="8">
        <f t="shared" si="159"/>
        <v>999962.3313</v>
      </c>
      <c r="Z190" s="95">
        <f t="shared" si="160"/>
        <v>-35364.621</v>
      </c>
    </row>
    <row r="191">
      <c r="A191" s="8">
        <f t="shared" si="161"/>
        <v>20</v>
      </c>
      <c r="B191" s="96" t="str">
        <f t="array" ref="B191">INDEX('Monthly Base'!$B$5:$B$67,A191+1)</f>
        <v>OPEN</v>
      </c>
      <c r="C191" s="96">
        <f t="array" ref="C191">INDEX('Monthly Base'!$C$5:$C$67,A191+1)</f>
        <v>18</v>
      </c>
      <c r="D191" s="95">
        <f t="array" ref="D191">INDEX('Monthly Base'!$O$5:$O$67,A191+1)</f>
        <v>39763.60169</v>
      </c>
      <c r="E191" s="95">
        <f t="array" ref="E191">INDEX('Monthly Base'!$Y$5:$Y$67,A191+1)</f>
        <v>0</v>
      </c>
      <c r="F191" s="95">
        <f t="shared" si="162"/>
        <v>-35364.621</v>
      </c>
      <c r="G191" s="8">
        <f t="shared" ref="G191:H191" si="184">W190</f>
        <v>208000</v>
      </c>
      <c r="H191" s="8">
        <f t="shared" si="184"/>
        <v>791962.3313</v>
      </c>
      <c r="I191" s="95">
        <f>IF(OR(A191&lt;Inputs!$B$15,G191&lt;=0),0,MIN(Financing!$B$10,G191))</f>
        <v>4000</v>
      </c>
      <c r="J191" s="8">
        <f>IF(OR(A191&lt;Inputs!$B$15,H191&lt;=0),0,H191*Inputs!$B$13/12)</f>
        <v>3134.850895</v>
      </c>
      <c r="K191" s="95">
        <f>IF(OR(A191&lt;Inputs!$B$15,H191&lt;=0),0,MIN(Financing!$C$10,H191+J191))</f>
        <v>16881.22078</v>
      </c>
      <c r="L191" s="95">
        <f t="shared" si="153"/>
        <v>20881.22078</v>
      </c>
      <c r="M191" s="8">
        <f t="shared" si="164"/>
        <v>232071.6823</v>
      </c>
      <c r="N191" s="8">
        <f t="shared" si="165"/>
        <v>10000</v>
      </c>
      <c r="O191" s="8">
        <f t="shared" si="166"/>
        <v>10000</v>
      </c>
      <c r="P191" s="8">
        <f t="shared" si="154"/>
        <v>24000</v>
      </c>
      <c r="Q191" s="95">
        <f>D191-J191-IF(C191=0,0,Inputs!$B$18)-P191</f>
        <v>5815.7508</v>
      </c>
      <c r="R191" s="8">
        <f>MAX(0,Q191-M191)*Inputs!$B$17</f>
        <v>0</v>
      </c>
      <c r="S191" s="8">
        <f t="shared" si="155"/>
        <v>226255.9315</v>
      </c>
      <c r="T191" s="95">
        <f t="shared" si="156"/>
        <v>-40482.24008</v>
      </c>
      <c r="U191" s="8">
        <f>IF(AND(Inputs!$B$79=1,B191="OPEN",A191&gt;=Inputs!$B$82,C191&gt;=$D$10,MOD(C191-$D$10,$D$9)=0),MIN(MAX(0,T191-$D$8)*Inputs!$B$81,MAX(0,H191+J191-K191)),0)</f>
        <v>0</v>
      </c>
      <c r="V191" s="8">
        <f>IF(AND(Inputs!$B$79=1,B191="OPEN",A191&gt;=Inputs!$B$82,C191&gt;=$D$10,MOD(C191-$D$10,$D$9)=0),MIN(MAX(0,MAX(0,T191-$D$8)*Inputs!$B$81-U191),MAX(0,G191-I191)),0)</f>
        <v>0</v>
      </c>
      <c r="W191" s="8">
        <f t="shared" si="157"/>
        <v>204000</v>
      </c>
      <c r="X191" s="8">
        <f t="shared" si="158"/>
        <v>778215.9614</v>
      </c>
      <c r="Y191" s="8">
        <f t="shared" si="159"/>
        <v>982215.9614</v>
      </c>
      <c r="Z191" s="95">
        <f t="shared" si="160"/>
        <v>-40482.24008</v>
      </c>
    </row>
    <row r="192">
      <c r="A192" s="8">
        <f t="shared" si="161"/>
        <v>21</v>
      </c>
      <c r="B192" s="96" t="str">
        <f t="array" ref="B192">INDEX('Monthly Base'!$B$5:$B$67,A192+1)</f>
        <v>OPEN</v>
      </c>
      <c r="C192" s="96">
        <f t="array" ref="C192">INDEX('Monthly Base'!$C$5:$C$67,A192+1)</f>
        <v>19</v>
      </c>
      <c r="D192" s="95">
        <f t="array" ref="D192">INDEX('Monthly Base'!$O$5:$O$67,A192+1)</f>
        <v>42195.81356</v>
      </c>
      <c r="E192" s="95">
        <f t="array" ref="E192">INDEX('Monthly Base'!$Y$5:$Y$67,A192+1)</f>
        <v>0</v>
      </c>
      <c r="F192" s="95">
        <f t="shared" si="162"/>
        <v>-40482.24008</v>
      </c>
      <c r="G192" s="8">
        <f t="shared" ref="G192:H192" si="185">W191</f>
        <v>204000</v>
      </c>
      <c r="H192" s="8">
        <f t="shared" si="185"/>
        <v>778215.9614</v>
      </c>
      <c r="I192" s="95">
        <f>IF(OR(A192&lt;Inputs!$B$15,G192&lt;=0),0,MIN(Financing!$B$10,G192))</f>
        <v>4000</v>
      </c>
      <c r="J192" s="8">
        <f>IF(OR(A192&lt;Inputs!$B$15,H192&lt;=0),0,H192*Inputs!$B$13/12)</f>
        <v>3080.43818</v>
      </c>
      <c r="K192" s="95">
        <f>IF(OR(A192&lt;Inputs!$B$15,H192&lt;=0),0,MIN(Financing!$C$10,H192+J192))</f>
        <v>16881.22078</v>
      </c>
      <c r="L192" s="95">
        <f t="shared" si="153"/>
        <v>20881.22078</v>
      </c>
      <c r="M192" s="8">
        <f t="shared" si="164"/>
        <v>226255.9315</v>
      </c>
      <c r="N192" s="8">
        <f t="shared" si="165"/>
        <v>10000</v>
      </c>
      <c r="O192" s="8">
        <f t="shared" si="166"/>
        <v>10000</v>
      </c>
      <c r="P192" s="8">
        <f t="shared" si="154"/>
        <v>24000</v>
      </c>
      <c r="Q192" s="95">
        <f>D192-J192-IF(C192=0,0,Inputs!$B$18)-P192</f>
        <v>8302.375379</v>
      </c>
      <c r="R192" s="8">
        <f>MAX(0,Q192-M192)*Inputs!$B$17</f>
        <v>0</v>
      </c>
      <c r="S192" s="8">
        <f t="shared" si="155"/>
        <v>217953.5561</v>
      </c>
      <c r="T192" s="95">
        <f t="shared" si="156"/>
        <v>-43167.6473</v>
      </c>
      <c r="U192" s="8">
        <f>IF(AND(Inputs!$B$79=1,B192="OPEN",A192&gt;=Inputs!$B$82,C192&gt;=$D$10,MOD(C192-$D$10,$D$9)=0),MIN(MAX(0,T192-$D$8)*Inputs!$B$81,MAX(0,H192+J192-K192)),0)</f>
        <v>0</v>
      </c>
      <c r="V192" s="8">
        <f>IF(AND(Inputs!$B$79=1,B192="OPEN",A192&gt;=Inputs!$B$82,C192&gt;=$D$10,MOD(C192-$D$10,$D$9)=0),MIN(MAX(0,MAX(0,T192-$D$8)*Inputs!$B$81-U192),MAX(0,G192-I192)),0)</f>
        <v>0</v>
      </c>
      <c r="W192" s="8">
        <f t="shared" si="157"/>
        <v>200000</v>
      </c>
      <c r="X192" s="8">
        <f t="shared" si="158"/>
        <v>764415.1788</v>
      </c>
      <c r="Y192" s="8">
        <f t="shared" si="159"/>
        <v>964415.1788</v>
      </c>
      <c r="Z192" s="95">
        <f t="shared" si="160"/>
        <v>-43167.6473</v>
      </c>
    </row>
    <row r="193">
      <c r="A193" s="8">
        <f t="shared" si="161"/>
        <v>22</v>
      </c>
      <c r="B193" s="96" t="str">
        <f t="array" ref="B193">INDEX('Monthly Base'!$B$5:$B$67,A193+1)</f>
        <v>OPEN</v>
      </c>
      <c r="C193" s="96">
        <f t="array" ref="C193">INDEX('Monthly Base'!$C$5:$C$67,A193+1)</f>
        <v>20</v>
      </c>
      <c r="D193" s="95">
        <f t="array" ref="D193">INDEX('Monthly Base'!$O$5:$O$67,A193+1)</f>
        <v>44440.9322</v>
      </c>
      <c r="E193" s="95">
        <f t="array" ref="E193">INDEX('Monthly Base'!$Y$5:$Y$67,A193+1)</f>
        <v>0</v>
      </c>
      <c r="F193" s="95">
        <f t="shared" si="162"/>
        <v>-43167.6473</v>
      </c>
      <c r="G193" s="8">
        <f t="shared" ref="G193:H193" si="186">W192</f>
        <v>200000</v>
      </c>
      <c r="H193" s="8">
        <f t="shared" si="186"/>
        <v>764415.1788</v>
      </c>
      <c r="I193" s="95">
        <f>IF(OR(A193&lt;Inputs!$B$15,G193&lt;=0),0,MIN(Financing!$B$10,G193))</f>
        <v>4000</v>
      </c>
      <c r="J193" s="8">
        <f>IF(OR(A193&lt;Inputs!$B$15,H193&lt;=0),0,H193*Inputs!$B$13/12)</f>
        <v>3025.810083</v>
      </c>
      <c r="K193" s="95">
        <f>IF(OR(A193&lt;Inputs!$B$15,H193&lt;=0),0,MIN(Financing!$C$10,H193+J193))</f>
        <v>16881.22078</v>
      </c>
      <c r="L193" s="95">
        <f t="shared" si="153"/>
        <v>20881.22078</v>
      </c>
      <c r="M193" s="8">
        <f t="shared" si="164"/>
        <v>217953.5561</v>
      </c>
      <c r="N193" s="8">
        <f t="shared" si="165"/>
        <v>10000</v>
      </c>
      <c r="O193" s="8">
        <f t="shared" si="166"/>
        <v>10000</v>
      </c>
      <c r="P193" s="8">
        <f t="shared" si="154"/>
        <v>24000</v>
      </c>
      <c r="Q193" s="95">
        <f>D193-J193-IF(C193=0,0,Inputs!$B$18)-P193</f>
        <v>10602.12212</v>
      </c>
      <c r="R193" s="8">
        <f>MAX(0,Q193-M193)*Inputs!$B$17</f>
        <v>0</v>
      </c>
      <c r="S193" s="8">
        <f t="shared" si="155"/>
        <v>207351.434</v>
      </c>
      <c r="T193" s="95">
        <f t="shared" si="156"/>
        <v>-43607.93588</v>
      </c>
      <c r="U193" s="8">
        <f>IF(AND(Inputs!$B$79=1,B193="OPEN",A193&gt;=Inputs!$B$82,C193&gt;=$D$10,MOD(C193-$D$10,$D$9)=0),MIN(MAX(0,T193-$D$8)*Inputs!$B$81,MAX(0,H193+J193-K193)),0)</f>
        <v>0</v>
      </c>
      <c r="V193" s="8">
        <f>IF(AND(Inputs!$B$79=1,B193="OPEN",A193&gt;=Inputs!$B$82,C193&gt;=$D$10,MOD(C193-$D$10,$D$9)=0),MIN(MAX(0,MAX(0,T193-$D$8)*Inputs!$B$81-U193),MAX(0,G193-I193)),0)</f>
        <v>0</v>
      </c>
      <c r="W193" s="8">
        <f t="shared" si="157"/>
        <v>196000</v>
      </c>
      <c r="X193" s="8">
        <f t="shared" si="158"/>
        <v>750559.7681</v>
      </c>
      <c r="Y193" s="8">
        <f t="shared" si="159"/>
        <v>946559.7681</v>
      </c>
      <c r="Z193" s="95">
        <f t="shared" si="160"/>
        <v>-43607.93588</v>
      </c>
    </row>
    <row r="194">
      <c r="A194" s="8">
        <f t="shared" si="161"/>
        <v>23</v>
      </c>
      <c r="B194" s="96" t="str">
        <f t="array" ref="B194">INDEX('Monthly Base'!$B$5:$B$67,A194+1)</f>
        <v>OPEN</v>
      </c>
      <c r="C194" s="96">
        <f t="array" ref="C194">INDEX('Monthly Base'!$C$5:$C$67,A194+1)</f>
        <v>21</v>
      </c>
      <c r="D194" s="95">
        <f t="array" ref="D194">INDEX('Monthly Base'!$O$5:$O$67,A194+1)</f>
        <v>46873.14407</v>
      </c>
      <c r="E194" s="95">
        <f t="array" ref="E194">INDEX('Monthly Base'!$Y$5:$Y$67,A194+1)</f>
        <v>0</v>
      </c>
      <c r="F194" s="95">
        <f t="shared" si="162"/>
        <v>-43607.93588</v>
      </c>
      <c r="G194" s="8">
        <f t="shared" ref="G194:H194" si="187">W193</f>
        <v>196000</v>
      </c>
      <c r="H194" s="8">
        <f t="shared" si="187"/>
        <v>750559.7681</v>
      </c>
      <c r="I194" s="95">
        <f>IF(OR(A194&lt;Inputs!$B$15,G194&lt;=0),0,MIN(Financing!$B$10,G194))</f>
        <v>4000</v>
      </c>
      <c r="J194" s="8">
        <f>IF(OR(A194&lt;Inputs!$B$15,H194&lt;=0),0,H194*Inputs!$B$13/12)</f>
        <v>2970.965749</v>
      </c>
      <c r="K194" s="95">
        <f>IF(OR(A194&lt;Inputs!$B$15,H194&lt;=0),0,MIN(Financing!$C$10,H194+J194))</f>
        <v>16881.22078</v>
      </c>
      <c r="L194" s="95">
        <f t="shared" si="153"/>
        <v>20881.22078</v>
      </c>
      <c r="M194" s="8">
        <f t="shared" si="164"/>
        <v>207351.434</v>
      </c>
      <c r="N194" s="8">
        <f t="shared" si="165"/>
        <v>10000</v>
      </c>
      <c r="O194" s="8">
        <f t="shared" si="166"/>
        <v>10000</v>
      </c>
      <c r="P194" s="8">
        <f t="shared" si="154"/>
        <v>24000</v>
      </c>
      <c r="Q194" s="95">
        <f>D194-J194-IF(C194=0,0,Inputs!$B$18)-P194</f>
        <v>13089.17832</v>
      </c>
      <c r="R194" s="8">
        <f>MAX(0,Q194-M194)*Inputs!$B$17</f>
        <v>0</v>
      </c>
      <c r="S194" s="8">
        <f t="shared" si="155"/>
        <v>194262.2556</v>
      </c>
      <c r="T194" s="95">
        <f t="shared" si="156"/>
        <v>-41616.01259</v>
      </c>
      <c r="U194" s="8">
        <f>IF(AND(Inputs!$B$79=1,B194="OPEN",A194&gt;=Inputs!$B$82,C194&gt;=$D$10,MOD(C194-$D$10,$D$9)=0),MIN(MAX(0,T194-$D$8)*Inputs!$B$81,MAX(0,H194+J194-K194)),0)</f>
        <v>0</v>
      </c>
      <c r="V194" s="8">
        <f>IF(AND(Inputs!$B$79=1,B194="OPEN",A194&gt;=Inputs!$B$82,C194&gt;=$D$10,MOD(C194-$D$10,$D$9)=0),MIN(MAX(0,MAX(0,T194-$D$8)*Inputs!$B$81-U194),MAX(0,G194-I194)),0)</f>
        <v>0</v>
      </c>
      <c r="W194" s="8">
        <f t="shared" si="157"/>
        <v>192000</v>
      </c>
      <c r="X194" s="8">
        <f t="shared" si="158"/>
        <v>736649.5131</v>
      </c>
      <c r="Y194" s="8">
        <f t="shared" si="159"/>
        <v>928649.5131</v>
      </c>
      <c r="Z194" s="95">
        <f t="shared" si="160"/>
        <v>-41616.01259</v>
      </c>
    </row>
    <row r="195">
      <c r="A195" s="8">
        <f t="shared" si="161"/>
        <v>24</v>
      </c>
      <c r="B195" s="96" t="str">
        <f t="array" ref="B195">INDEX('Monthly Base'!$B$5:$B$67,A195+1)</f>
        <v>OPEN</v>
      </c>
      <c r="C195" s="96">
        <f t="array" ref="C195">INDEX('Monthly Base'!$C$5:$C$67,A195+1)</f>
        <v>22</v>
      </c>
      <c r="D195" s="95">
        <f t="array" ref="D195">INDEX('Monthly Base'!$O$5:$O$67,A195+1)</f>
        <v>49118.26271</v>
      </c>
      <c r="E195" s="95">
        <f t="array" ref="E195">INDEX('Monthly Base'!$Y$5:$Y$67,A195+1)</f>
        <v>0</v>
      </c>
      <c r="F195" s="95">
        <f t="shared" si="162"/>
        <v>-41616.01259</v>
      </c>
      <c r="G195" s="8">
        <f t="shared" ref="G195:H195" si="188">W194</f>
        <v>192000</v>
      </c>
      <c r="H195" s="8">
        <f t="shared" si="188"/>
        <v>736649.5131</v>
      </c>
      <c r="I195" s="95">
        <f>IF(OR(A195&lt;Inputs!$B$15,G195&lt;=0),0,MIN(Financing!$B$10,G195))</f>
        <v>4000</v>
      </c>
      <c r="J195" s="8">
        <f>IF(OR(A195&lt;Inputs!$B$15,H195&lt;=0),0,H195*Inputs!$B$13/12)</f>
        <v>2915.904323</v>
      </c>
      <c r="K195" s="95">
        <f>IF(OR(A195&lt;Inputs!$B$15,H195&lt;=0),0,MIN(Financing!$C$10,H195+J195))</f>
        <v>16881.22078</v>
      </c>
      <c r="L195" s="95">
        <f t="shared" si="153"/>
        <v>20881.22078</v>
      </c>
      <c r="M195" s="8">
        <f t="shared" si="164"/>
        <v>194262.2556</v>
      </c>
      <c r="N195" s="8">
        <f t="shared" si="165"/>
        <v>10000</v>
      </c>
      <c r="O195" s="8">
        <f t="shared" si="166"/>
        <v>10000</v>
      </c>
      <c r="P195" s="8">
        <f t="shared" si="154"/>
        <v>24000</v>
      </c>
      <c r="Q195" s="95">
        <f>D195-J195-IF(C195=0,0,Inputs!$B$18)-P195</f>
        <v>15389.35839</v>
      </c>
      <c r="R195" s="8">
        <f>MAX(0,Q195-M195)*Inputs!$B$17</f>
        <v>0</v>
      </c>
      <c r="S195" s="8">
        <f t="shared" si="155"/>
        <v>178872.8973</v>
      </c>
      <c r="T195" s="95">
        <f t="shared" si="156"/>
        <v>-37378.97066</v>
      </c>
      <c r="U195" s="8">
        <f>IF(AND(Inputs!$B$79=1,B195="OPEN",A195&gt;=Inputs!$B$82,C195&gt;=$D$10,MOD(C195-$D$10,$D$9)=0),MIN(MAX(0,T195-$D$8)*Inputs!$B$81,MAX(0,H195+J195-K195)),0)</f>
        <v>0</v>
      </c>
      <c r="V195" s="8">
        <f>IF(AND(Inputs!$B$79=1,B195="OPEN",A195&gt;=Inputs!$B$82,C195&gt;=$D$10,MOD(C195-$D$10,$D$9)=0),MIN(MAX(0,MAX(0,T195-$D$8)*Inputs!$B$81-U195),MAX(0,G195-I195)),0)</f>
        <v>0</v>
      </c>
      <c r="W195" s="8">
        <f t="shared" si="157"/>
        <v>188000</v>
      </c>
      <c r="X195" s="8">
        <f t="shared" si="158"/>
        <v>722684.1966</v>
      </c>
      <c r="Y195" s="8">
        <f t="shared" si="159"/>
        <v>910684.1966</v>
      </c>
      <c r="Z195" s="95">
        <f t="shared" si="160"/>
        <v>-37378.97066</v>
      </c>
    </row>
    <row r="196">
      <c r="A196" s="8">
        <f t="shared" si="161"/>
        <v>25</v>
      </c>
      <c r="B196" s="96" t="str">
        <f t="array" ref="B196">INDEX('Monthly Base'!$B$5:$B$67,A196+1)</f>
        <v>OPEN</v>
      </c>
      <c r="C196" s="96">
        <f t="array" ref="C196">INDEX('Monthly Base'!$C$5:$C$67,A196+1)</f>
        <v>23</v>
      </c>
      <c r="D196" s="95">
        <f t="array" ref="D196">INDEX('Monthly Base'!$O$5:$O$67,A196+1)</f>
        <v>51550.47458</v>
      </c>
      <c r="E196" s="95">
        <f t="array" ref="E196">INDEX('Monthly Base'!$Y$5:$Y$67,A196+1)</f>
        <v>0</v>
      </c>
      <c r="F196" s="95">
        <f t="shared" si="162"/>
        <v>-37378.97066</v>
      </c>
      <c r="G196" s="8">
        <f t="shared" ref="G196:H196" si="189">W195</f>
        <v>188000</v>
      </c>
      <c r="H196" s="8">
        <f t="shared" si="189"/>
        <v>722684.1966</v>
      </c>
      <c r="I196" s="95">
        <f>IF(OR(A196&lt;Inputs!$B$15,G196&lt;=0),0,MIN(Financing!$B$10,G196))</f>
        <v>4000</v>
      </c>
      <c r="J196" s="8">
        <f>IF(OR(A196&lt;Inputs!$B$15,H196&lt;=0),0,H196*Inputs!$B$13/12)</f>
        <v>2860.624945</v>
      </c>
      <c r="K196" s="95">
        <f>IF(OR(A196&lt;Inputs!$B$15,H196&lt;=0),0,MIN(Financing!$C$10,H196+J196))</f>
        <v>16881.22078</v>
      </c>
      <c r="L196" s="95">
        <f t="shared" si="153"/>
        <v>20881.22078</v>
      </c>
      <c r="M196" s="8">
        <f t="shared" si="164"/>
        <v>178872.8973</v>
      </c>
      <c r="N196" s="8">
        <f t="shared" si="165"/>
        <v>10000</v>
      </c>
      <c r="O196" s="8">
        <f t="shared" si="166"/>
        <v>10000</v>
      </c>
      <c r="P196" s="8">
        <f t="shared" si="154"/>
        <v>24000</v>
      </c>
      <c r="Q196" s="95">
        <f>D196-J196-IF(C196=0,0,Inputs!$B$18)-P196</f>
        <v>17876.84963</v>
      </c>
      <c r="R196" s="8">
        <f>MAX(0,Q196-M196)*Inputs!$B$17</f>
        <v>0</v>
      </c>
      <c r="S196" s="8">
        <f t="shared" si="155"/>
        <v>160996.0476</v>
      </c>
      <c r="T196" s="95">
        <f t="shared" si="156"/>
        <v>-30709.71687</v>
      </c>
      <c r="U196" s="8">
        <f>IF(AND(Inputs!$B$79=1,B196="OPEN",A196&gt;=Inputs!$B$82,C196&gt;=$D$10,MOD(C196-$D$10,$D$9)=0),MIN(MAX(0,T196-$D$8)*Inputs!$B$81,MAX(0,H196+J196-K196)),0)</f>
        <v>0</v>
      </c>
      <c r="V196" s="8">
        <f>IF(AND(Inputs!$B$79=1,B196="OPEN",A196&gt;=Inputs!$B$82,C196&gt;=$D$10,MOD(C196-$D$10,$D$9)=0),MIN(MAX(0,MAX(0,T196-$D$8)*Inputs!$B$81-U196),MAX(0,G196-I196)),0)</f>
        <v>0</v>
      </c>
      <c r="W196" s="8">
        <f t="shared" si="157"/>
        <v>184000</v>
      </c>
      <c r="X196" s="8">
        <f t="shared" si="158"/>
        <v>708663.6008</v>
      </c>
      <c r="Y196" s="8">
        <f t="shared" si="159"/>
        <v>892663.6008</v>
      </c>
      <c r="Z196" s="95">
        <f t="shared" si="160"/>
        <v>-30709.71687</v>
      </c>
    </row>
    <row r="197">
      <c r="A197" s="8">
        <f t="shared" si="161"/>
        <v>26</v>
      </c>
      <c r="B197" s="96" t="str">
        <f t="array" ref="B197">INDEX('Monthly Base'!$B$5:$B$67,A197+1)</f>
        <v>OPEN</v>
      </c>
      <c r="C197" s="96">
        <f t="array" ref="C197">INDEX('Monthly Base'!$C$5:$C$67,A197+1)</f>
        <v>24</v>
      </c>
      <c r="D197" s="95">
        <f t="array" ref="D197">INDEX('Monthly Base'!$O$5:$O$67,A197+1)</f>
        <v>53795.59322</v>
      </c>
      <c r="E197" s="95">
        <f t="array" ref="E197">INDEX('Monthly Base'!$Y$5:$Y$67,A197+1)</f>
        <v>0</v>
      </c>
      <c r="F197" s="95">
        <f t="shared" si="162"/>
        <v>-30709.71687</v>
      </c>
      <c r="G197" s="8">
        <f t="shared" ref="G197:H197" si="190">W196</f>
        <v>184000</v>
      </c>
      <c r="H197" s="8">
        <f t="shared" si="190"/>
        <v>708663.6008</v>
      </c>
      <c r="I197" s="95">
        <f>IF(OR(A197&lt;Inputs!$B$15,G197&lt;=0),0,MIN(Financing!$B$10,G197))</f>
        <v>4000</v>
      </c>
      <c r="J197" s="8">
        <f>IF(OR(A197&lt;Inputs!$B$15,H197&lt;=0),0,H197*Inputs!$B$13/12)</f>
        <v>2805.126753</v>
      </c>
      <c r="K197" s="95">
        <f>IF(OR(A197&lt;Inputs!$B$15,H197&lt;=0),0,MIN(Financing!$C$10,H197+J197))</f>
        <v>16881.22078</v>
      </c>
      <c r="L197" s="95">
        <f t="shared" si="153"/>
        <v>20881.22078</v>
      </c>
      <c r="M197" s="8">
        <f t="shared" si="164"/>
        <v>160996.0476</v>
      </c>
      <c r="N197" s="8">
        <f t="shared" si="165"/>
        <v>10000</v>
      </c>
      <c r="O197" s="8">
        <f t="shared" si="166"/>
        <v>10000</v>
      </c>
      <c r="P197" s="8">
        <f t="shared" si="154"/>
        <v>24000</v>
      </c>
      <c r="Q197" s="95">
        <f>D197-J197-IF(C197=0,0,Inputs!$B$18)-P197</f>
        <v>20177.46647</v>
      </c>
      <c r="R197" s="8">
        <f>MAX(0,Q197-M197)*Inputs!$B$17</f>
        <v>0</v>
      </c>
      <c r="S197" s="8">
        <f t="shared" si="155"/>
        <v>140818.5812</v>
      </c>
      <c r="T197" s="95">
        <f t="shared" si="156"/>
        <v>-21795.34443</v>
      </c>
      <c r="U197" s="8">
        <f>IF(AND(Inputs!$B$79=1,B197="OPEN",A197&gt;=Inputs!$B$82,C197&gt;=$D$10,MOD(C197-$D$10,$D$9)=0),MIN(MAX(0,T197-$D$8)*Inputs!$B$81,MAX(0,H197+J197-K197)),0)</f>
        <v>0</v>
      </c>
      <c r="V197" s="8">
        <f>IF(AND(Inputs!$B$79=1,B197="OPEN",A197&gt;=Inputs!$B$82,C197&gt;=$D$10,MOD(C197-$D$10,$D$9)=0),MIN(MAX(0,MAX(0,T197-$D$8)*Inputs!$B$81-U197),MAX(0,G197-I197)),0)</f>
        <v>0</v>
      </c>
      <c r="W197" s="8">
        <f t="shared" si="157"/>
        <v>180000</v>
      </c>
      <c r="X197" s="8">
        <f t="shared" si="158"/>
        <v>694587.5067</v>
      </c>
      <c r="Y197" s="8">
        <f t="shared" si="159"/>
        <v>874587.5067</v>
      </c>
      <c r="Z197" s="95">
        <f t="shared" si="160"/>
        <v>-21795.34443</v>
      </c>
    </row>
    <row r="198">
      <c r="A198" s="8">
        <f t="shared" si="161"/>
        <v>27</v>
      </c>
      <c r="B198" s="96" t="str">
        <f t="array" ref="B198">INDEX('Monthly Base'!$B$5:$B$67,A198+1)</f>
        <v>OPEN</v>
      </c>
      <c r="C198" s="96">
        <f t="array" ref="C198">INDEX('Monthly Base'!$C$5:$C$67,A198+1)</f>
        <v>25</v>
      </c>
      <c r="D198" s="95">
        <f t="array" ref="D198">INDEX('Monthly Base'!$O$5:$O$67,A198+1)</f>
        <v>55666.52542</v>
      </c>
      <c r="E198" s="95">
        <f t="array" ref="E198">INDEX('Monthly Base'!$Y$5:$Y$67,A198+1)</f>
        <v>0</v>
      </c>
      <c r="F198" s="95">
        <f t="shared" si="162"/>
        <v>-21795.34443</v>
      </c>
      <c r="G198" s="8">
        <f t="shared" ref="G198:H198" si="191">W197</f>
        <v>180000</v>
      </c>
      <c r="H198" s="8">
        <f t="shared" si="191"/>
        <v>694587.5067</v>
      </c>
      <c r="I198" s="95">
        <f>IF(OR(A198&lt;Inputs!$B$15,G198&lt;=0),0,MIN(Financing!$B$10,G198))</f>
        <v>4000</v>
      </c>
      <c r="J198" s="8">
        <f>IF(OR(A198&lt;Inputs!$B$15,H198&lt;=0),0,H198*Inputs!$B$13/12)</f>
        <v>2749.408881</v>
      </c>
      <c r="K198" s="95">
        <f>IF(OR(A198&lt;Inputs!$B$15,H198&lt;=0),0,MIN(Financing!$C$10,H198+J198))</f>
        <v>16881.22078</v>
      </c>
      <c r="L198" s="95">
        <f t="shared" si="153"/>
        <v>20881.22078</v>
      </c>
      <c r="M198" s="8">
        <f t="shared" si="164"/>
        <v>140818.5812</v>
      </c>
      <c r="N198" s="8">
        <f t="shared" si="165"/>
        <v>10000</v>
      </c>
      <c r="O198" s="8">
        <f t="shared" si="166"/>
        <v>10000</v>
      </c>
      <c r="P198" s="8">
        <f t="shared" si="154"/>
        <v>24000</v>
      </c>
      <c r="Q198" s="95">
        <f>D198-J198-IF(C198=0,0,Inputs!$B$18)-P198</f>
        <v>22104.11654</v>
      </c>
      <c r="R198" s="8">
        <f>MAX(0,Q198-M198)*Inputs!$B$17</f>
        <v>0</v>
      </c>
      <c r="S198" s="8">
        <f t="shared" si="155"/>
        <v>118714.4646</v>
      </c>
      <c r="T198" s="95">
        <f t="shared" si="156"/>
        <v>-11010.03979</v>
      </c>
      <c r="U198" s="8">
        <f>IF(AND(Inputs!$B$79=1,B198="OPEN",A198&gt;=Inputs!$B$82,C198&gt;=$D$10,MOD(C198-$D$10,$D$9)=0),MIN(MAX(0,T198-$D$8)*Inputs!$B$81,MAX(0,H198+J198-K198)),0)</f>
        <v>0</v>
      </c>
      <c r="V198" s="8">
        <f>IF(AND(Inputs!$B$79=1,B198="OPEN",A198&gt;=Inputs!$B$82,C198&gt;=$D$10,MOD(C198-$D$10,$D$9)=0),MIN(MAX(0,MAX(0,T198-$D$8)*Inputs!$B$81-U198),MAX(0,G198-I198)),0)</f>
        <v>0</v>
      </c>
      <c r="W198" s="8">
        <f t="shared" si="157"/>
        <v>176000</v>
      </c>
      <c r="X198" s="8">
        <f t="shared" si="158"/>
        <v>680455.6948</v>
      </c>
      <c r="Y198" s="8">
        <f t="shared" si="159"/>
        <v>856455.6948</v>
      </c>
      <c r="Z198" s="95">
        <f t="shared" si="160"/>
        <v>-11010.03979</v>
      </c>
    </row>
    <row r="199">
      <c r="A199" s="8">
        <f t="shared" si="161"/>
        <v>28</v>
      </c>
      <c r="B199" s="96" t="str">
        <f t="array" ref="B199">INDEX('Monthly Base'!$B$5:$B$67,A199+1)</f>
        <v>OPEN</v>
      </c>
      <c r="C199" s="96">
        <f t="array" ref="C199">INDEX('Monthly Base'!$C$5:$C$67,A199+1)</f>
        <v>26</v>
      </c>
      <c r="D199" s="95">
        <f t="array" ref="D199">INDEX('Monthly Base'!$O$5:$O$67,A199+1)</f>
        <v>57724.55085</v>
      </c>
      <c r="E199" s="95">
        <f t="array" ref="E199">INDEX('Monthly Base'!$Y$5:$Y$67,A199+1)</f>
        <v>0</v>
      </c>
      <c r="F199" s="95">
        <f t="shared" si="162"/>
        <v>-11010.03979</v>
      </c>
      <c r="G199" s="8">
        <f t="shared" ref="G199:H199" si="192">W198</f>
        <v>176000</v>
      </c>
      <c r="H199" s="8">
        <f t="shared" si="192"/>
        <v>680455.6948</v>
      </c>
      <c r="I199" s="95">
        <f>IF(OR(A199&lt;Inputs!$B$15,G199&lt;=0),0,MIN(Financing!$B$10,G199))</f>
        <v>4000</v>
      </c>
      <c r="J199" s="8">
        <f>IF(OR(A199&lt;Inputs!$B$15,H199&lt;=0),0,H199*Inputs!$B$13/12)</f>
        <v>2693.470459</v>
      </c>
      <c r="K199" s="95">
        <f>IF(OR(A199&lt;Inputs!$B$15,H199&lt;=0),0,MIN(Financing!$C$10,H199+J199))</f>
        <v>16881.22078</v>
      </c>
      <c r="L199" s="95">
        <f t="shared" si="153"/>
        <v>20881.22078</v>
      </c>
      <c r="M199" s="8">
        <f t="shared" si="164"/>
        <v>118714.4646</v>
      </c>
      <c r="N199" s="8">
        <f t="shared" si="165"/>
        <v>10000</v>
      </c>
      <c r="O199" s="8">
        <f t="shared" si="166"/>
        <v>10000</v>
      </c>
      <c r="P199" s="8">
        <f t="shared" si="154"/>
        <v>24000</v>
      </c>
      <c r="Q199" s="95">
        <f>D199-J199-IF(C199=0,0,Inputs!$B$18)-P199</f>
        <v>24218.08039</v>
      </c>
      <c r="R199" s="8">
        <f>MAX(0,Q199-M199)*Inputs!$B$17</f>
        <v>0</v>
      </c>
      <c r="S199" s="8">
        <f t="shared" si="155"/>
        <v>94496.38423</v>
      </c>
      <c r="T199" s="95">
        <f t="shared" si="156"/>
        <v>1833.290279</v>
      </c>
      <c r="U199" s="8">
        <f>IF(AND(Inputs!$B$79=1,B199="OPEN",A199&gt;=Inputs!$B$82,C199&gt;=$D$10,MOD(C199-$D$10,$D$9)=0),MIN(MAX(0,T199-$D$8)*Inputs!$B$81,MAX(0,H199+J199-K199)),0)</f>
        <v>0</v>
      </c>
      <c r="V199" s="8">
        <f>IF(AND(Inputs!$B$79=1,B199="OPEN",A199&gt;=Inputs!$B$82,C199&gt;=$D$10,MOD(C199-$D$10,$D$9)=0),MIN(MAX(0,MAX(0,T199-$D$8)*Inputs!$B$81-U199),MAX(0,G199-I199)),0)</f>
        <v>0</v>
      </c>
      <c r="W199" s="8">
        <f t="shared" si="157"/>
        <v>172000</v>
      </c>
      <c r="X199" s="8">
        <f t="shared" si="158"/>
        <v>666267.9445</v>
      </c>
      <c r="Y199" s="8">
        <f t="shared" si="159"/>
        <v>838267.9445</v>
      </c>
      <c r="Z199" s="95">
        <f t="shared" si="160"/>
        <v>1833.290279</v>
      </c>
    </row>
    <row r="200">
      <c r="A200" s="8">
        <f t="shared" si="161"/>
        <v>29</v>
      </c>
      <c r="B200" s="96" t="str">
        <f t="array" ref="B200">INDEX('Monthly Base'!$B$5:$B$67,A200+1)</f>
        <v>OPEN</v>
      </c>
      <c r="C200" s="96">
        <f t="array" ref="C200">INDEX('Monthly Base'!$C$5:$C$67,A200+1)</f>
        <v>27</v>
      </c>
      <c r="D200" s="95">
        <f t="array" ref="D200">INDEX('Monthly Base'!$O$5:$O$67,A200+1)</f>
        <v>59595.48305</v>
      </c>
      <c r="E200" s="95">
        <f t="array" ref="E200">INDEX('Monthly Base'!$Y$5:$Y$67,A200+1)</f>
        <v>0</v>
      </c>
      <c r="F200" s="95">
        <f t="shared" si="162"/>
        <v>1833.290279</v>
      </c>
      <c r="G200" s="8">
        <f t="shared" ref="G200:H200" si="193">W199</f>
        <v>172000</v>
      </c>
      <c r="H200" s="8">
        <f t="shared" si="193"/>
        <v>666267.9445</v>
      </c>
      <c r="I200" s="95">
        <f>IF(OR(A200&lt;Inputs!$B$15,G200&lt;=0),0,MIN(Financing!$B$10,G200))</f>
        <v>4000</v>
      </c>
      <c r="J200" s="8">
        <f>IF(OR(A200&lt;Inputs!$B$15,H200&lt;=0),0,H200*Inputs!$B$13/12)</f>
        <v>2637.310614</v>
      </c>
      <c r="K200" s="95">
        <f>IF(OR(A200&lt;Inputs!$B$15,H200&lt;=0),0,MIN(Financing!$C$10,H200+J200))</f>
        <v>16881.22078</v>
      </c>
      <c r="L200" s="95">
        <f t="shared" si="153"/>
        <v>20881.22078</v>
      </c>
      <c r="M200" s="8">
        <f t="shared" si="164"/>
        <v>94496.38423</v>
      </c>
      <c r="N200" s="8">
        <f t="shared" si="165"/>
        <v>10000</v>
      </c>
      <c r="O200" s="8">
        <f t="shared" si="166"/>
        <v>10000</v>
      </c>
      <c r="P200" s="8">
        <f t="shared" si="154"/>
        <v>24000</v>
      </c>
      <c r="Q200" s="95">
        <f>D200-J200-IF(C200=0,0,Inputs!$B$18)-P200</f>
        <v>26145.17244</v>
      </c>
      <c r="R200" s="8">
        <f>MAX(0,Q200-M200)*Inputs!$B$17</f>
        <v>0</v>
      </c>
      <c r="S200" s="8">
        <f t="shared" si="155"/>
        <v>68351.21179</v>
      </c>
      <c r="T200" s="95">
        <f t="shared" si="156"/>
        <v>16547.55255</v>
      </c>
      <c r="U200" s="8">
        <f>IF(AND(Inputs!$B$79=1,B200="OPEN",A200&gt;=Inputs!$B$82,C200&gt;=$D$10,MOD(C200-$D$10,$D$9)=0),MIN(MAX(0,T200-$D$8)*Inputs!$B$81,MAX(0,H200+J200-K200)),0)</f>
        <v>0</v>
      </c>
      <c r="V200" s="8">
        <f>IF(AND(Inputs!$B$79=1,B200="OPEN",A200&gt;=Inputs!$B$82,C200&gt;=$D$10,MOD(C200-$D$10,$D$9)=0),MIN(MAX(0,MAX(0,T200-$D$8)*Inputs!$B$81-U200),MAX(0,G200-I200)),0)</f>
        <v>0</v>
      </c>
      <c r="W200" s="8">
        <f t="shared" si="157"/>
        <v>168000</v>
      </c>
      <c r="X200" s="8">
        <f t="shared" si="158"/>
        <v>652024.0343</v>
      </c>
      <c r="Y200" s="8">
        <f t="shared" si="159"/>
        <v>820024.0343</v>
      </c>
      <c r="Z200" s="95">
        <f t="shared" si="160"/>
        <v>16547.55255</v>
      </c>
    </row>
    <row r="201">
      <c r="A201" s="8">
        <f t="shared" si="161"/>
        <v>30</v>
      </c>
      <c r="B201" s="96" t="str">
        <f t="array" ref="B201">INDEX('Monthly Base'!$B$5:$B$67,A201+1)</f>
        <v>OPEN</v>
      </c>
      <c r="C201" s="96">
        <f t="array" ref="C201">INDEX('Monthly Base'!$C$5:$C$67,A201+1)</f>
        <v>28</v>
      </c>
      <c r="D201" s="95">
        <f t="array" ref="D201">INDEX('Monthly Base'!$O$5:$O$67,A201+1)</f>
        <v>61653.50847</v>
      </c>
      <c r="E201" s="95">
        <f t="array" ref="E201">INDEX('Monthly Base'!$Y$5:$Y$67,A201+1)</f>
        <v>0</v>
      </c>
      <c r="F201" s="95">
        <f t="shared" si="162"/>
        <v>16547.55255</v>
      </c>
      <c r="G201" s="8">
        <f t="shared" ref="G201:H201" si="194">W200</f>
        <v>168000</v>
      </c>
      <c r="H201" s="8">
        <f t="shared" si="194"/>
        <v>652024.0343</v>
      </c>
      <c r="I201" s="95">
        <f>IF(OR(A201&lt;Inputs!$B$15,G201&lt;=0),0,MIN(Financing!$B$10,G201))</f>
        <v>4000</v>
      </c>
      <c r="J201" s="8">
        <f>IF(OR(A201&lt;Inputs!$B$15,H201&lt;=0),0,H201*Inputs!$B$13/12)</f>
        <v>2580.928469</v>
      </c>
      <c r="K201" s="95">
        <f>IF(OR(A201&lt;Inputs!$B$15,H201&lt;=0),0,MIN(Financing!$C$10,H201+J201))</f>
        <v>16881.22078</v>
      </c>
      <c r="L201" s="95">
        <f t="shared" si="153"/>
        <v>20881.22078</v>
      </c>
      <c r="M201" s="8">
        <f t="shared" si="164"/>
        <v>68351.21179</v>
      </c>
      <c r="N201" s="8">
        <f t="shared" si="165"/>
        <v>10000</v>
      </c>
      <c r="O201" s="8">
        <f t="shared" si="166"/>
        <v>10000</v>
      </c>
      <c r="P201" s="8">
        <f t="shared" si="154"/>
        <v>24000</v>
      </c>
      <c r="Q201" s="95">
        <f>D201-J201-IF(C201=0,0,Inputs!$B$18)-P201</f>
        <v>28259.58001</v>
      </c>
      <c r="R201" s="8">
        <f>MAX(0,Q201-M201)*Inputs!$B$17</f>
        <v>0</v>
      </c>
      <c r="S201" s="8">
        <f t="shared" si="155"/>
        <v>40091.63179</v>
      </c>
      <c r="T201" s="95">
        <f t="shared" si="156"/>
        <v>33319.84024</v>
      </c>
      <c r="U201" s="8">
        <f>IF(AND(Inputs!$B$79=1,B201="OPEN",A201&gt;=Inputs!$B$82,C201&gt;=$D$10,MOD(C201-$D$10,$D$9)=0),MIN(MAX(0,T201-$D$8)*Inputs!$B$81,MAX(0,H201+J201-K201)),0)</f>
        <v>0</v>
      </c>
      <c r="V201" s="8">
        <f>IF(AND(Inputs!$B$79=1,B201="OPEN",A201&gt;=Inputs!$B$82,C201&gt;=$D$10,MOD(C201-$D$10,$D$9)=0),MIN(MAX(0,MAX(0,T201-$D$8)*Inputs!$B$81-U201),MAX(0,G201-I201)),0)</f>
        <v>0</v>
      </c>
      <c r="W201" s="8">
        <f t="shared" si="157"/>
        <v>164000</v>
      </c>
      <c r="X201" s="8">
        <f t="shared" si="158"/>
        <v>637723.742</v>
      </c>
      <c r="Y201" s="8">
        <f t="shared" si="159"/>
        <v>801723.742</v>
      </c>
      <c r="Z201" s="95">
        <f t="shared" si="160"/>
        <v>33319.84024</v>
      </c>
    </row>
    <row r="202">
      <c r="A202" s="8">
        <f t="shared" si="161"/>
        <v>31</v>
      </c>
      <c r="B202" s="96" t="str">
        <f t="array" ref="B202">INDEX('Monthly Base'!$B$5:$B$67,A202+1)</f>
        <v>OPEN</v>
      </c>
      <c r="C202" s="96">
        <f t="array" ref="C202">INDEX('Monthly Base'!$C$5:$C$67,A202+1)</f>
        <v>29</v>
      </c>
      <c r="D202" s="95">
        <f t="array" ref="D202">INDEX('Monthly Base'!$O$5:$O$67,A202+1)</f>
        <v>63524.44068</v>
      </c>
      <c r="E202" s="95">
        <f t="array" ref="E202">INDEX('Monthly Base'!$Y$5:$Y$67,A202+1)</f>
        <v>0</v>
      </c>
      <c r="F202" s="95">
        <f t="shared" si="162"/>
        <v>33319.84024</v>
      </c>
      <c r="G202" s="8">
        <f t="shared" ref="G202:H202" si="195">W201</f>
        <v>164000</v>
      </c>
      <c r="H202" s="8">
        <f t="shared" si="195"/>
        <v>637723.742</v>
      </c>
      <c r="I202" s="95">
        <f>IF(OR(A202&lt;Inputs!$B$15,G202&lt;=0),0,MIN(Financing!$B$10,G202))</f>
        <v>4000</v>
      </c>
      <c r="J202" s="8">
        <f>IF(OR(A202&lt;Inputs!$B$15,H202&lt;=0),0,H202*Inputs!$B$13/12)</f>
        <v>2524.323146</v>
      </c>
      <c r="K202" s="95">
        <f>IF(OR(A202&lt;Inputs!$B$15,H202&lt;=0),0,MIN(Financing!$C$10,H202+J202))</f>
        <v>16881.22078</v>
      </c>
      <c r="L202" s="95">
        <f t="shared" si="153"/>
        <v>20881.22078</v>
      </c>
      <c r="M202" s="8">
        <f t="shared" si="164"/>
        <v>40091.63179</v>
      </c>
      <c r="N202" s="8">
        <f t="shared" si="165"/>
        <v>10000</v>
      </c>
      <c r="O202" s="8">
        <f t="shared" si="166"/>
        <v>10000</v>
      </c>
      <c r="P202" s="8">
        <f t="shared" si="154"/>
        <v>24000</v>
      </c>
      <c r="Q202" s="95">
        <f>D202-J202-IF(C202=0,0,Inputs!$B$18)-P202</f>
        <v>30187.11753</v>
      </c>
      <c r="R202" s="8">
        <f>MAX(0,Q202-M202)*Inputs!$B$17</f>
        <v>0</v>
      </c>
      <c r="S202" s="8">
        <f t="shared" si="155"/>
        <v>9904.514254</v>
      </c>
      <c r="T202" s="95">
        <f t="shared" si="156"/>
        <v>51963.06014</v>
      </c>
      <c r="U202" s="8">
        <f>IF(AND(Inputs!$B$79=1,B202="OPEN",A202&gt;=Inputs!$B$82,C202&gt;=$D$10,MOD(C202-$D$10,$D$9)=0),MIN(MAX(0,T202-$D$8)*Inputs!$B$81,MAX(0,H202+J202-K202)),0)</f>
        <v>0</v>
      </c>
      <c r="V202" s="8">
        <f>IF(AND(Inputs!$B$79=1,B202="OPEN",A202&gt;=Inputs!$B$82,C202&gt;=$D$10,MOD(C202-$D$10,$D$9)=0),MIN(MAX(0,MAX(0,T202-$D$8)*Inputs!$B$81-U202),MAX(0,G202-I202)),0)</f>
        <v>0</v>
      </c>
      <c r="W202" s="8">
        <f t="shared" si="157"/>
        <v>160000</v>
      </c>
      <c r="X202" s="8">
        <f t="shared" si="158"/>
        <v>623366.8444</v>
      </c>
      <c r="Y202" s="8">
        <f t="shared" si="159"/>
        <v>783366.8444</v>
      </c>
      <c r="Z202" s="95">
        <f t="shared" si="160"/>
        <v>51963.06014</v>
      </c>
    </row>
    <row r="203">
      <c r="A203" s="8">
        <f t="shared" si="161"/>
        <v>32</v>
      </c>
      <c r="B203" s="96" t="str">
        <f t="array" ref="B203">INDEX('Monthly Base'!$B$5:$B$67,A203+1)</f>
        <v>OPEN</v>
      </c>
      <c r="C203" s="96">
        <f t="array" ref="C203">INDEX('Monthly Base'!$C$5:$C$67,A203+1)</f>
        <v>30</v>
      </c>
      <c r="D203" s="95">
        <f t="array" ref="D203">INDEX('Monthly Base'!$O$5:$O$67,A203+1)</f>
        <v>65582.4661</v>
      </c>
      <c r="E203" s="95">
        <f t="array" ref="E203">INDEX('Monthly Base'!$Y$5:$Y$67,A203+1)</f>
        <v>0</v>
      </c>
      <c r="F203" s="95">
        <f t="shared" si="162"/>
        <v>51963.06014</v>
      </c>
      <c r="G203" s="8">
        <f t="shared" ref="G203:H203" si="196">W202</f>
        <v>160000</v>
      </c>
      <c r="H203" s="8">
        <f t="shared" si="196"/>
        <v>623366.8444</v>
      </c>
      <c r="I203" s="95">
        <f>IF(OR(A203&lt;Inputs!$B$15,G203&lt;=0),0,MIN(Financing!$B$10,G203))</f>
        <v>4000</v>
      </c>
      <c r="J203" s="8">
        <f>IF(OR(A203&lt;Inputs!$B$15,H203&lt;=0),0,H203*Inputs!$B$13/12)</f>
        <v>2467.493759</v>
      </c>
      <c r="K203" s="95">
        <f>IF(OR(A203&lt;Inputs!$B$15,H203&lt;=0),0,MIN(Financing!$C$10,H203+J203))</f>
        <v>16881.22078</v>
      </c>
      <c r="L203" s="95">
        <f t="shared" si="153"/>
        <v>20881.22078</v>
      </c>
      <c r="M203" s="8">
        <f t="shared" si="164"/>
        <v>9904.514254</v>
      </c>
      <c r="N203" s="8">
        <f t="shared" si="165"/>
        <v>10000</v>
      </c>
      <c r="O203" s="8">
        <f t="shared" si="166"/>
        <v>10000</v>
      </c>
      <c r="P203" s="8">
        <f t="shared" si="154"/>
        <v>24000</v>
      </c>
      <c r="Q203" s="95">
        <f>D203-J203-IF(C203=0,0,Inputs!$B$18)-P203</f>
        <v>32301.97234</v>
      </c>
      <c r="R203" s="8">
        <f>MAX(0,Q203-M203)*Inputs!$B$17</f>
        <v>5151.41536</v>
      </c>
      <c r="S203" s="8">
        <f t="shared" si="155"/>
        <v>0</v>
      </c>
      <c r="T203" s="95">
        <f t="shared" si="156"/>
        <v>67512.8901</v>
      </c>
      <c r="U203" s="8">
        <f>IF(AND(Inputs!$B$79=1,B203="OPEN",A203&gt;=Inputs!$B$82,C203&gt;=$D$10,MOD(C203-$D$10,$D$9)=0),MIN(MAX(0,T203-$D$8)*Inputs!$B$81,MAX(0,H203+J203-K203)),0)</f>
        <v>0</v>
      </c>
      <c r="V203" s="8">
        <f>IF(AND(Inputs!$B$79=1,B203="OPEN",A203&gt;=Inputs!$B$82,C203&gt;=$D$10,MOD(C203-$D$10,$D$9)=0),MIN(MAX(0,MAX(0,T203-$D$8)*Inputs!$B$81-U203),MAX(0,G203-I203)),0)</f>
        <v>0</v>
      </c>
      <c r="W203" s="8">
        <f t="shared" si="157"/>
        <v>156000</v>
      </c>
      <c r="X203" s="8">
        <f t="shared" si="158"/>
        <v>608953.1174</v>
      </c>
      <c r="Y203" s="8">
        <f t="shared" si="159"/>
        <v>764953.1174</v>
      </c>
      <c r="Z203" s="95">
        <f t="shared" si="160"/>
        <v>67512.8901</v>
      </c>
    </row>
    <row r="204">
      <c r="A204" s="8">
        <f t="shared" si="161"/>
        <v>33</v>
      </c>
      <c r="B204" s="96" t="str">
        <f t="array" ref="B204">INDEX('Monthly Base'!$B$5:$B$67,A204+1)</f>
        <v>OPEN</v>
      </c>
      <c r="C204" s="96">
        <f t="array" ref="C204">INDEX('Monthly Base'!$C$5:$C$67,A204+1)</f>
        <v>31</v>
      </c>
      <c r="D204" s="95">
        <f t="array" ref="D204">INDEX('Monthly Base'!$O$5:$O$67,A204+1)</f>
        <v>67453.39831</v>
      </c>
      <c r="E204" s="95">
        <f t="array" ref="E204">INDEX('Monthly Base'!$Y$5:$Y$67,A204+1)</f>
        <v>0</v>
      </c>
      <c r="F204" s="95">
        <f t="shared" si="162"/>
        <v>67512.8901</v>
      </c>
      <c r="G204" s="8">
        <f t="shared" ref="G204:H204" si="197">W203</f>
        <v>156000</v>
      </c>
      <c r="H204" s="8">
        <f t="shared" si="197"/>
        <v>608953.1174</v>
      </c>
      <c r="I204" s="95">
        <f>IF(OR(A204&lt;Inputs!$B$15,G204&lt;=0),0,MIN(Financing!$B$10,G204))</f>
        <v>4000</v>
      </c>
      <c r="J204" s="8">
        <f>IF(OR(A204&lt;Inputs!$B$15,H204&lt;=0),0,H204*Inputs!$B$13/12)</f>
        <v>2410.439423</v>
      </c>
      <c r="K204" s="95">
        <f>IF(OR(A204&lt;Inputs!$B$15,H204&lt;=0),0,MIN(Financing!$C$10,H204+J204))</f>
        <v>16881.22078</v>
      </c>
      <c r="L204" s="95">
        <f t="shared" si="153"/>
        <v>20881.22078</v>
      </c>
      <c r="M204" s="8">
        <f t="shared" si="164"/>
        <v>0</v>
      </c>
      <c r="N204" s="8">
        <f t="shared" si="165"/>
        <v>10000</v>
      </c>
      <c r="O204" s="8">
        <f t="shared" si="166"/>
        <v>10000</v>
      </c>
      <c r="P204" s="8">
        <f t="shared" si="154"/>
        <v>24000</v>
      </c>
      <c r="Q204" s="95">
        <f>D204-J204-IF(C204=0,0,Inputs!$B$18)-P204</f>
        <v>34229.95888</v>
      </c>
      <c r="R204" s="8">
        <f>MAX(0,Q204-M204)*Inputs!$B$17</f>
        <v>7872.890543</v>
      </c>
      <c r="S204" s="8">
        <f t="shared" si="155"/>
        <v>0</v>
      </c>
      <c r="T204" s="95">
        <f t="shared" si="156"/>
        <v>82212.17708</v>
      </c>
      <c r="U204" s="8">
        <f>IF(AND(Inputs!$B$79=1,B204="OPEN",A204&gt;=Inputs!$B$82,C204&gt;=$D$10,MOD(C204-$D$10,$D$9)=0),MIN(MAX(0,T204-$D$8)*Inputs!$B$81,MAX(0,H204+J204-K204)),0)</f>
        <v>0</v>
      </c>
      <c r="V204" s="8">
        <f>IF(AND(Inputs!$B$79=1,B204="OPEN",A204&gt;=Inputs!$B$82,C204&gt;=$D$10,MOD(C204-$D$10,$D$9)=0),MIN(MAX(0,MAX(0,T204-$D$8)*Inputs!$B$81-U204),MAX(0,G204-I204)),0)</f>
        <v>0</v>
      </c>
      <c r="W204" s="8">
        <f t="shared" si="157"/>
        <v>152000</v>
      </c>
      <c r="X204" s="8">
        <f t="shared" si="158"/>
        <v>594482.336</v>
      </c>
      <c r="Y204" s="8">
        <f t="shared" si="159"/>
        <v>746482.336</v>
      </c>
      <c r="Z204" s="95">
        <f t="shared" si="160"/>
        <v>82212.17708</v>
      </c>
    </row>
    <row r="205">
      <c r="A205" s="8">
        <f t="shared" si="161"/>
        <v>34</v>
      </c>
      <c r="B205" s="96" t="str">
        <f t="array" ref="B205">INDEX('Monthly Base'!$B$5:$B$67,A205+1)</f>
        <v>OPEN</v>
      </c>
      <c r="C205" s="96">
        <f t="array" ref="C205">INDEX('Monthly Base'!$C$5:$C$67,A205+1)</f>
        <v>32</v>
      </c>
      <c r="D205" s="95">
        <f t="array" ref="D205">INDEX('Monthly Base'!$O$5:$O$67,A205+1)</f>
        <v>69324.33051</v>
      </c>
      <c r="E205" s="95">
        <f t="array" ref="E205">INDEX('Monthly Base'!$Y$5:$Y$67,A205+1)</f>
        <v>0</v>
      </c>
      <c r="F205" s="95">
        <f t="shared" si="162"/>
        <v>82212.17708</v>
      </c>
      <c r="G205" s="8">
        <f t="shared" ref="G205:H205" si="198">W204</f>
        <v>152000</v>
      </c>
      <c r="H205" s="8">
        <f t="shared" si="198"/>
        <v>594482.336</v>
      </c>
      <c r="I205" s="95">
        <f>IF(OR(A205&lt;Inputs!$B$15,G205&lt;=0),0,MIN(Financing!$B$10,G205))</f>
        <v>4000</v>
      </c>
      <c r="J205" s="8">
        <f>IF(OR(A205&lt;Inputs!$B$15,H205&lt;=0),0,H205*Inputs!$B$13/12)</f>
        <v>2353.159247</v>
      </c>
      <c r="K205" s="95">
        <f>IF(OR(A205&lt;Inputs!$B$15,H205&lt;=0),0,MIN(Financing!$C$10,H205+J205))</f>
        <v>16881.22078</v>
      </c>
      <c r="L205" s="95">
        <f t="shared" si="153"/>
        <v>20881.22078</v>
      </c>
      <c r="M205" s="8">
        <f t="shared" si="164"/>
        <v>0</v>
      </c>
      <c r="N205" s="8">
        <f t="shared" si="165"/>
        <v>10000</v>
      </c>
      <c r="O205" s="8">
        <f t="shared" si="166"/>
        <v>10000</v>
      </c>
      <c r="P205" s="8">
        <f t="shared" si="154"/>
        <v>24000</v>
      </c>
      <c r="Q205" s="95">
        <f>D205-J205-IF(C205=0,0,Inputs!$B$18)-P205</f>
        <v>36158.17126</v>
      </c>
      <c r="R205" s="8">
        <f>MAX(0,Q205-M205)*Inputs!$B$17</f>
        <v>8316.37939</v>
      </c>
      <c r="S205" s="8">
        <f t="shared" si="155"/>
        <v>0</v>
      </c>
      <c r="T205" s="95">
        <f t="shared" si="156"/>
        <v>98338.90742</v>
      </c>
      <c r="U205" s="8">
        <f>IF(AND(Inputs!$B$79=1,B205="OPEN",A205&gt;=Inputs!$B$82,C205&gt;=$D$10,MOD(C205-$D$10,$D$9)=0),MIN(MAX(0,T205-$D$8)*Inputs!$B$81,MAX(0,H205+J205-K205)),0)</f>
        <v>0</v>
      </c>
      <c r="V205" s="8">
        <f>IF(AND(Inputs!$B$79=1,B205="OPEN",A205&gt;=Inputs!$B$82,C205&gt;=$D$10,MOD(C205-$D$10,$D$9)=0),MIN(MAX(0,MAX(0,T205-$D$8)*Inputs!$B$81-U205),MAX(0,G205-I205)),0)</f>
        <v>0</v>
      </c>
      <c r="W205" s="8">
        <f t="shared" si="157"/>
        <v>148000</v>
      </c>
      <c r="X205" s="8">
        <f t="shared" si="158"/>
        <v>579954.2745</v>
      </c>
      <c r="Y205" s="8">
        <f t="shared" si="159"/>
        <v>727954.2745</v>
      </c>
      <c r="Z205" s="95">
        <f t="shared" si="160"/>
        <v>98338.90742</v>
      </c>
    </row>
    <row r="206">
      <c r="A206" s="8">
        <f t="shared" si="161"/>
        <v>35</v>
      </c>
      <c r="B206" s="96" t="str">
        <f t="array" ref="B206">INDEX('Monthly Base'!$B$5:$B$67,A206+1)</f>
        <v>OPEN</v>
      </c>
      <c r="C206" s="96">
        <f t="array" ref="C206">INDEX('Monthly Base'!$C$5:$C$67,A206+1)</f>
        <v>33</v>
      </c>
      <c r="D206" s="95">
        <f t="array" ref="D206">INDEX('Monthly Base'!$O$5:$O$67,A206+1)</f>
        <v>71382.35593</v>
      </c>
      <c r="E206" s="95">
        <f t="array" ref="E206">INDEX('Monthly Base'!$Y$5:$Y$67,A206+1)</f>
        <v>0</v>
      </c>
      <c r="F206" s="95">
        <f t="shared" si="162"/>
        <v>98338.90742</v>
      </c>
      <c r="G206" s="8">
        <f t="shared" ref="G206:H206" si="199">W205</f>
        <v>148000</v>
      </c>
      <c r="H206" s="8">
        <f t="shared" si="199"/>
        <v>579954.2745</v>
      </c>
      <c r="I206" s="95">
        <f>IF(OR(A206&lt;Inputs!$B$15,G206&lt;=0),0,MIN(Financing!$B$10,G206))</f>
        <v>4000</v>
      </c>
      <c r="J206" s="8">
        <f>IF(OR(A206&lt;Inputs!$B$15,H206&lt;=0),0,H206*Inputs!$B$13/12)</f>
        <v>2295.652336</v>
      </c>
      <c r="K206" s="95">
        <f>IF(OR(A206&lt;Inputs!$B$15,H206&lt;=0),0,MIN(Financing!$C$10,H206+J206))</f>
        <v>16881.22078</v>
      </c>
      <c r="L206" s="95">
        <f t="shared" si="153"/>
        <v>20881.22078</v>
      </c>
      <c r="M206" s="8">
        <f t="shared" si="164"/>
        <v>0</v>
      </c>
      <c r="N206" s="8">
        <f t="shared" si="165"/>
        <v>10000</v>
      </c>
      <c r="O206" s="8">
        <f t="shared" si="166"/>
        <v>10000</v>
      </c>
      <c r="P206" s="8">
        <f t="shared" si="154"/>
        <v>24000</v>
      </c>
      <c r="Q206" s="95">
        <f>D206-J206-IF(C206=0,0,Inputs!$B$18)-P206</f>
        <v>38273.7036</v>
      </c>
      <c r="R206" s="8">
        <f>MAX(0,Q206-M206)*Inputs!$B$17</f>
        <v>8802.951827</v>
      </c>
      <c r="S206" s="8">
        <f t="shared" si="155"/>
        <v>0</v>
      </c>
      <c r="T206" s="95">
        <f t="shared" si="156"/>
        <v>116037.0907</v>
      </c>
      <c r="U206" s="8">
        <f>IF(AND(Inputs!$B$79=1,B206="OPEN",A206&gt;=Inputs!$B$82,C206&gt;=$D$10,MOD(C206-$D$10,$D$9)=0),MIN(MAX(0,T206-$D$8)*Inputs!$B$81,MAX(0,H206+J206-K206)),0)</f>
        <v>0</v>
      </c>
      <c r="V206" s="8">
        <f>IF(AND(Inputs!$B$79=1,B206="OPEN",A206&gt;=Inputs!$B$82,C206&gt;=$D$10,MOD(C206-$D$10,$D$9)=0),MIN(MAX(0,MAX(0,T206-$D$8)*Inputs!$B$81-U206),MAX(0,G206-I206)),0)</f>
        <v>0</v>
      </c>
      <c r="W206" s="8">
        <f t="shared" si="157"/>
        <v>144000</v>
      </c>
      <c r="X206" s="8">
        <f t="shared" si="158"/>
        <v>565368.706</v>
      </c>
      <c r="Y206" s="8">
        <f t="shared" si="159"/>
        <v>709368.706</v>
      </c>
      <c r="Z206" s="95">
        <f t="shared" si="160"/>
        <v>116037.0907</v>
      </c>
    </row>
    <row r="207">
      <c r="A207" s="8">
        <f t="shared" si="161"/>
        <v>36</v>
      </c>
      <c r="B207" s="96" t="str">
        <f t="array" ref="B207">INDEX('Monthly Base'!$B$5:$B$67,A207+1)</f>
        <v>OPEN</v>
      </c>
      <c r="C207" s="96">
        <f t="array" ref="C207">INDEX('Monthly Base'!$C$5:$C$67,A207+1)</f>
        <v>34</v>
      </c>
      <c r="D207" s="95">
        <f t="array" ref="D207">INDEX('Monthly Base'!$O$5:$O$67,A207+1)</f>
        <v>73253.28814</v>
      </c>
      <c r="E207" s="95">
        <f t="array" ref="E207">INDEX('Monthly Base'!$Y$5:$Y$67,A207+1)</f>
        <v>0</v>
      </c>
      <c r="F207" s="95">
        <f t="shared" si="162"/>
        <v>116037.0907</v>
      </c>
      <c r="G207" s="8">
        <f t="shared" ref="G207:H207" si="200">W206</f>
        <v>144000</v>
      </c>
      <c r="H207" s="8">
        <f t="shared" si="200"/>
        <v>565368.706</v>
      </c>
      <c r="I207" s="95">
        <f>IF(OR(A207&lt;Inputs!$B$15,G207&lt;=0),0,MIN(Financing!$B$10,G207))</f>
        <v>4000</v>
      </c>
      <c r="J207" s="8">
        <f>IF(OR(A207&lt;Inputs!$B$15,H207&lt;=0),0,H207*Inputs!$B$13/12)</f>
        <v>2237.917795</v>
      </c>
      <c r="K207" s="95">
        <f>IF(OR(A207&lt;Inputs!$B$15,H207&lt;=0),0,MIN(Financing!$C$10,H207+J207))</f>
        <v>16881.22078</v>
      </c>
      <c r="L207" s="95">
        <f t="shared" si="153"/>
        <v>20881.22078</v>
      </c>
      <c r="M207" s="8">
        <f t="shared" si="164"/>
        <v>0</v>
      </c>
      <c r="N207" s="8">
        <f t="shared" si="165"/>
        <v>10000</v>
      </c>
      <c r="O207" s="8">
        <f t="shared" si="166"/>
        <v>10000</v>
      </c>
      <c r="P207" s="8">
        <f t="shared" si="154"/>
        <v>24000</v>
      </c>
      <c r="Q207" s="95">
        <f>D207-J207-IF(C207=0,0,Inputs!$B$18)-P207</f>
        <v>40202.37034</v>
      </c>
      <c r="R207" s="8">
        <f>MAX(0,Q207-M207)*Inputs!$B$17</f>
        <v>9246.545178</v>
      </c>
      <c r="S207" s="8">
        <f t="shared" si="155"/>
        <v>0</v>
      </c>
      <c r="T207" s="95">
        <f t="shared" si="156"/>
        <v>135162.6129</v>
      </c>
      <c r="U207" s="8">
        <f>IF(AND(Inputs!$B$79=1,B207="OPEN",A207&gt;=Inputs!$B$82,C207&gt;=$D$10,MOD(C207-$D$10,$D$9)=0),MIN(MAX(0,T207-$D$8)*Inputs!$B$81,MAX(0,H207+J207-K207)),0)</f>
        <v>0</v>
      </c>
      <c r="V207" s="8">
        <f>IF(AND(Inputs!$B$79=1,B207="OPEN",A207&gt;=Inputs!$B$82,C207&gt;=$D$10,MOD(C207-$D$10,$D$9)=0),MIN(MAX(0,MAX(0,T207-$D$8)*Inputs!$B$81-U207),MAX(0,G207-I207)),0)</f>
        <v>0</v>
      </c>
      <c r="W207" s="8">
        <f t="shared" si="157"/>
        <v>140000</v>
      </c>
      <c r="X207" s="8">
        <f t="shared" si="158"/>
        <v>550725.403</v>
      </c>
      <c r="Y207" s="8">
        <f t="shared" si="159"/>
        <v>690725.403</v>
      </c>
      <c r="Z207" s="95">
        <f t="shared" si="160"/>
        <v>135162.6129</v>
      </c>
    </row>
    <row r="208">
      <c r="A208" s="8">
        <f t="shared" si="161"/>
        <v>37</v>
      </c>
      <c r="B208" s="96" t="str">
        <f t="array" ref="B208">INDEX('Monthly Base'!$B$5:$B$67,A208+1)</f>
        <v>OPEN</v>
      </c>
      <c r="C208" s="96">
        <f t="array" ref="C208">INDEX('Monthly Base'!$C$5:$C$67,A208+1)</f>
        <v>35</v>
      </c>
      <c r="D208" s="95">
        <f t="array" ref="D208">INDEX('Monthly Base'!$O$5:$O$67,A208+1)</f>
        <v>75311.31356</v>
      </c>
      <c r="E208" s="95">
        <f t="array" ref="E208">INDEX('Monthly Base'!$Y$5:$Y$67,A208+1)</f>
        <v>0</v>
      </c>
      <c r="F208" s="95">
        <f t="shared" si="162"/>
        <v>135162.6129</v>
      </c>
      <c r="G208" s="8">
        <f t="shared" ref="G208:H208" si="201">W207</f>
        <v>140000</v>
      </c>
      <c r="H208" s="8">
        <f t="shared" si="201"/>
        <v>550725.403</v>
      </c>
      <c r="I208" s="95">
        <f>IF(OR(A208&lt;Inputs!$B$15,G208&lt;=0),0,MIN(Financing!$B$10,G208))</f>
        <v>4000</v>
      </c>
      <c r="J208" s="8">
        <f>IF(OR(A208&lt;Inputs!$B$15,H208&lt;=0),0,H208*Inputs!$B$13/12)</f>
        <v>2179.95472</v>
      </c>
      <c r="K208" s="95">
        <f>IF(OR(A208&lt;Inputs!$B$15,H208&lt;=0),0,MIN(Financing!$C$10,H208+J208))</f>
        <v>16881.22078</v>
      </c>
      <c r="L208" s="95">
        <f t="shared" si="153"/>
        <v>20881.22078</v>
      </c>
      <c r="M208" s="8">
        <f t="shared" si="164"/>
        <v>0</v>
      </c>
      <c r="N208" s="8">
        <f t="shared" si="165"/>
        <v>10000</v>
      </c>
      <c r="O208" s="8">
        <f t="shared" si="166"/>
        <v>10000</v>
      </c>
      <c r="P208" s="8">
        <f t="shared" si="154"/>
        <v>24000</v>
      </c>
      <c r="Q208" s="95">
        <f>D208-J208-IF(C208=0,0,Inputs!$B$18)-P208</f>
        <v>42318.35884</v>
      </c>
      <c r="R208" s="8">
        <f>MAX(0,Q208-M208)*Inputs!$B$17</f>
        <v>9733.222533</v>
      </c>
      <c r="S208" s="8">
        <f t="shared" si="155"/>
        <v>0</v>
      </c>
      <c r="T208" s="95">
        <f t="shared" si="156"/>
        <v>155859.4832</v>
      </c>
      <c r="U208" s="8">
        <f>IF(AND(Inputs!$B$79=1,B208="OPEN",A208&gt;=Inputs!$B$82,C208&gt;=$D$10,MOD(C208-$D$10,$D$9)=0),MIN(MAX(0,T208-$D$8)*Inputs!$B$81,MAX(0,H208+J208-K208)),0)</f>
        <v>0</v>
      </c>
      <c r="V208" s="8">
        <f>IF(AND(Inputs!$B$79=1,B208="OPEN",A208&gt;=Inputs!$B$82,C208&gt;=$D$10,MOD(C208-$D$10,$D$9)=0),MIN(MAX(0,MAX(0,T208-$D$8)*Inputs!$B$81-U208),MAX(0,G208-I208)),0)</f>
        <v>0</v>
      </c>
      <c r="W208" s="8">
        <f t="shared" si="157"/>
        <v>136000</v>
      </c>
      <c r="X208" s="8">
        <f t="shared" si="158"/>
        <v>536024.137</v>
      </c>
      <c r="Y208" s="8">
        <f t="shared" si="159"/>
        <v>672024.137</v>
      </c>
      <c r="Z208" s="95">
        <f t="shared" si="160"/>
        <v>155859.4832</v>
      </c>
    </row>
    <row r="209">
      <c r="A209" s="8">
        <f t="shared" si="161"/>
        <v>38</v>
      </c>
      <c r="B209" s="96" t="str">
        <f t="array" ref="B209">INDEX('Monthly Base'!$B$5:$B$67,A209+1)</f>
        <v>OPEN</v>
      </c>
      <c r="C209" s="96">
        <f t="array" ref="C209">INDEX('Monthly Base'!$C$5:$C$67,A209+1)</f>
        <v>36</v>
      </c>
      <c r="D209" s="95">
        <f t="array" ref="D209">INDEX('Monthly Base'!$O$5:$O$67,A209+1)</f>
        <v>77182.24576</v>
      </c>
      <c r="E209" s="95">
        <f t="array" ref="E209">INDEX('Monthly Base'!$Y$5:$Y$67,A209+1)</f>
        <v>0</v>
      </c>
      <c r="F209" s="95">
        <f t="shared" si="162"/>
        <v>155859.4832</v>
      </c>
      <c r="G209" s="8">
        <f t="shared" ref="G209:H209" si="202">W208</f>
        <v>136000</v>
      </c>
      <c r="H209" s="8">
        <f t="shared" si="202"/>
        <v>536024.137</v>
      </c>
      <c r="I209" s="95">
        <f>IF(OR(A209&lt;Inputs!$B$15,G209&lt;=0),0,MIN(Financing!$B$10,G209))</f>
        <v>4000</v>
      </c>
      <c r="J209" s="8">
        <f>IF(OR(A209&lt;Inputs!$B$15,H209&lt;=0),0,H209*Inputs!$B$13/12)</f>
        <v>2121.762209</v>
      </c>
      <c r="K209" s="95">
        <f>IF(OR(A209&lt;Inputs!$B$15,H209&lt;=0),0,MIN(Financing!$C$10,H209+J209))</f>
        <v>16881.22078</v>
      </c>
      <c r="L209" s="95">
        <f t="shared" si="153"/>
        <v>20881.22078</v>
      </c>
      <c r="M209" s="8">
        <f t="shared" si="164"/>
        <v>0</v>
      </c>
      <c r="N209" s="8">
        <f t="shared" si="165"/>
        <v>10000</v>
      </c>
      <c r="O209" s="8">
        <f t="shared" si="166"/>
        <v>10000</v>
      </c>
      <c r="P209" s="8">
        <f t="shared" si="154"/>
        <v>24000</v>
      </c>
      <c r="Q209" s="95">
        <f>D209-J209-IF(C209=0,0,Inputs!$B$18)-P209</f>
        <v>44247.48355</v>
      </c>
      <c r="R209" s="8">
        <f>MAX(0,Q209-M209)*Inputs!$B$17</f>
        <v>10176.92122</v>
      </c>
      <c r="S209" s="8">
        <f t="shared" si="155"/>
        <v>0</v>
      </c>
      <c r="T209" s="95">
        <f t="shared" si="156"/>
        <v>177983.5869</v>
      </c>
      <c r="U209" s="8">
        <f>IF(AND(Inputs!$B$79=1,B209="OPEN",A209&gt;=Inputs!$B$82,C209&gt;=$D$10,MOD(C209-$D$10,$D$9)=0),MIN(MAX(0,T209-$D$8)*Inputs!$B$81,MAX(0,H209+J209-K209)),0)</f>
        <v>27983.58693</v>
      </c>
      <c r="V209" s="8">
        <f>IF(AND(Inputs!$B$79=1,B209="OPEN",A209&gt;=Inputs!$B$82,C209&gt;=$D$10,MOD(C209-$D$10,$D$9)=0),MIN(MAX(0,MAX(0,T209-$D$8)*Inputs!$B$81-U209),MAX(0,G209-I209)),0)</f>
        <v>0</v>
      </c>
      <c r="W209" s="8">
        <f t="shared" si="157"/>
        <v>132000</v>
      </c>
      <c r="X209" s="8">
        <f t="shared" si="158"/>
        <v>493281.0915</v>
      </c>
      <c r="Y209" s="8">
        <f t="shared" si="159"/>
        <v>625281.0915</v>
      </c>
      <c r="Z209" s="95">
        <f t="shared" si="160"/>
        <v>150000</v>
      </c>
    </row>
    <row r="210">
      <c r="A210" s="8">
        <f t="shared" si="161"/>
        <v>39</v>
      </c>
      <c r="B210" s="96" t="str">
        <f t="array" ref="B210">INDEX('Monthly Base'!$B$5:$B$67,A210+1)</f>
        <v>OPEN</v>
      </c>
      <c r="C210" s="96">
        <f t="array" ref="C210">INDEX('Monthly Base'!$C$5:$C$67,A210+1)</f>
        <v>37</v>
      </c>
      <c r="D210" s="95">
        <f t="array" ref="D210">INDEX('Monthly Base'!$O$5:$O$67,A210+1)</f>
        <v>78304.80508</v>
      </c>
      <c r="E210" s="95">
        <f t="array" ref="E210">INDEX('Monthly Base'!$Y$5:$Y$67,A210+1)</f>
        <v>0</v>
      </c>
      <c r="F210" s="95">
        <f t="shared" si="162"/>
        <v>150000</v>
      </c>
      <c r="G210" s="8">
        <f t="shared" ref="G210:H210" si="203">W209</f>
        <v>132000</v>
      </c>
      <c r="H210" s="8">
        <f t="shared" si="203"/>
        <v>493281.0915</v>
      </c>
      <c r="I210" s="95">
        <f>IF(OR(A210&lt;Inputs!$B$15,G210&lt;=0),0,MIN(Financing!$B$10,G210))</f>
        <v>4000</v>
      </c>
      <c r="J210" s="8">
        <f>IF(OR(A210&lt;Inputs!$B$15,H210&lt;=0),0,H210*Inputs!$B$13/12)</f>
        <v>1952.570987</v>
      </c>
      <c r="K210" s="95">
        <f>IF(OR(A210&lt;Inputs!$B$15,H210&lt;=0),0,MIN(Financing!$C$10,H210+J210))</f>
        <v>16881.22078</v>
      </c>
      <c r="L210" s="95">
        <f t="shared" si="153"/>
        <v>20881.22078</v>
      </c>
      <c r="M210" s="8">
        <f t="shared" si="164"/>
        <v>0</v>
      </c>
      <c r="N210" s="8">
        <f t="shared" si="165"/>
        <v>10000</v>
      </c>
      <c r="O210" s="8">
        <f t="shared" si="166"/>
        <v>10000</v>
      </c>
      <c r="P210" s="8">
        <f t="shared" si="154"/>
        <v>24000</v>
      </c>
      <c r="Q210" s="95">
        <f>D210-J210-IF(C210=0,0,Inputs!$B$18)-P210</f>
        <v>45539.2341</v>
      </c>
      <c r="R210" s="8">
        <f>MAX(0,Q210-M210)*Inputs!$B$17</f>
        <v>10474.02384</v>
      </c>
      <c r="S210" s="8">
        <f t="shared" si="155"/>
        <v>0</v>
      </c>
      <c r="T210" s="95">
        <f t="shared" si="156"/>
        <v>172949.5605</v>
      </c>
      <c r="U210" s="8">
        <f>IF(AND(Inputs!$B$79=1,B210="OPEN",A210&gt;=Inputs!$B$82,C210&gt;=$D$10,MOD(C210-$D$10,$D$9)=0),MIN(MAX(0,T210-$D$8)*Inputs!$B$81,MAX(0,H210+J210-K210)),0)</f>
        <v>0</v>
      </c>
      <c r="V210" s="8">
        <f>IF(AND(Inputs!$B$79=1,B210="OPEN",A210&gt;=Inputs!$B$82,C210&gt;=$D$10,MOD(C210-$D$10,$D$9)=0),MIN(MAX(0,MAX(0,T210-$D$8)*Inputs!$B$81-U210),MAX(0,G210-I210)),0)</f>
        <v>0</v>
      </c>
      <c r="W210" s="8">
        <f t="shared" si="157"/>
        <v>128000</v>
      </c>
      <c r="X210" s="8">
        <f t="shared" si="158"/>
        <v>478352.4417</v>
      </c>
      <c r="Y210" s="8">
        <f t="shared" si="159"/>
        <v>606352.4417</v>
      </c>
      <c r="Z210" s="95">
        <f t="shared" si="160"/>
        <v>172949.5605</v>
      </c>
    </row>
    <row r="211">
      <c r="A211" s="8">
        <f t="shared" si="161"/>
        <v>40</v>
      </c>
      <c r="B211" s="96" t="str">
        <f t="array" ref="B211">INDEX('Monthly Base'!$B$5:$B$67,A211+1)</f>
        <v>OPEN</v>
      </c>
      <c r="C211" s="96">
        <f t="array" ref="C211">INDEX('Monthly Base'!$C$5:$C$67,A211+1)</f>
        <v>38</v>
      </c>
      <c r="D211" s="95">
        <f t="array" ref="D211">INDEX('Monthly Base'!$O$5:$O$67,A211+1)</f>
        <v>79614.45763</v>
      </c>
      <c r="E211" s="95">
        <f t="array" ref="E211">INDEX('Monthly Base'!$Y$5:$Y$67,A211+1)</f>
        <v>0</v>
      </c>
      <c r="F211" s="95">
        <f t="shared" si="162"/>
        <v>172949.5605</v>
      </c>
      <c r="G211" s="8">
        <f t="shared" ref="G211:H211" si="204">W210</f>
        <v>128000</v>
      </c>
      <c r="H211" s="8">
        <f t="shared" si="204"/>
        <v>478352.4417</v>
      </c>
      <c r="I211" s="95">
        <f>IF(OR(A211&lt;Inputs!$B$15,G211&lt;=0),0,MIN(Financing!$B$10,G211))</f>
        <v>4000</v>
      </c>
      <c r="J211" s="8">
        <f>IF(OR(A211&lt;Inputs!$B$15,H211&lt;=0),0,H211*Inputs!$B$13/12)</f>
        <v>1893.478415</v>
      </c>
      <c r="K211" s="95">
        <f>IF(OR(A211&lt;Inputs!$B$15,H211&lt;=0),0,MIN(Financing!$C$10,H211+J211))</f>
        <v>16881.22078</v>
      </c>
      <c r="L211" s="95">
        <f t="shared" si="153"/>
        <v>20881.22078</v>
      </c>
      <c r="M211" s="8">
        <f t="shared" si="164"/>
        <v>0</v>
      </c>
      <c r="N211" s="8">
        <f t="shared" si="165"/>
        <v>10000</v>
      </c>
      <c r="O211" s="8">
        <f t="shared" si="166"/>
        <v>10000</v>
      </c>
      <c r="P211" s="8">
        <f t="shared" si="154"/>
        <v>24000</v>
      </c>
      <c r="Q211" s="95">
        <f>D211-J211-IF(C211=0,0,Inputs!$B$18)-P211</f>
        <v>46907.97921</v>
      </c>
      <c r="R211" s="8">
        <f>MAX(0,Q211-M211)*Inputs!$B$17</f>
        <v>10788.83522</v>
      </c>
      <c r="S211" s="8">
        <f t="shared" si="155"/>
        <v>0</v>
      </c>
      <c r="T211" s="95">
        <f t="shared" si="156"/>
        <v>196893.9621</v>
      </c>
      <c r="U211" s="8">
        <f>IF(AND(Inputs!$B$79=1,B211="OPEN",A211&gt;=Inputs!$B$82,C211&gt;=$D$10,MOD(C211-$D$10,$D$9)=0),MIN(MAX(0,T211-$D$8)*Inputs!$B$81,MAX(0,H211+J211-K211)),0)</f>
        <v>0</v>
      </c>
      <c r="V211" s="8">
        <f>IF(AND(Inputs!$B$79=1,B211="OPEN",A211&gt;=Inputs!$B$82,C211&gt;=$D$10,MOD(C211-$D$10,$D$9)=0),MIN(MAX(0,MAX(0,T211-$D$8)*Inputs!$B$81-U211),MAX(0,G211-I211)),0)</f>
        <v>0</v>
      </c>
      <c r="W211" s="8">
        <f t="shared" si="157"/>
        <v>124000</v>
      </c>
      <c r="X211" s="8">
        <f t="shared" si="158"/>
        <v>463364.6993</v>
      </c>
      <c r="Y211" s="8">
        <f t="shared" si="159"/>
        <v>587364.6993</v>
      </c>
      <c r="Z211" s="95">
        <f t="shared" si="160"/>
        <v>196893.9621</v>
      </c>
    </row>
    <row r="212">
      <c r="A212" s="8">
        <f t="shared" si="161"/>
        <v>41</v>
      </c>
      <c r="B212" s="96" t="str">
        <f t="array" ref="B212">INDEX('Monthly Base'!$B$5:$B$67,A212+1)</f>
        <v>OPEN</v>
      </c>
      <c r="C212" s="96">
        <f t="array" ref="C212">INDEX('Monthly Base'!$C$5:$C$67,A212+1)</f>
        <v>39</v>
      </c>
      <c r="D212" s="95">
        <f t="array" ref="D212">INDEX('Monthly Base'!$O$5:$O$67,A212+1)</f>
        <v>80737.01695</v>
      </c>
      <c r="E212" s="95">
        <f t="array" ref="E212">INDEX('Monthly Base'!$Y$5:$Y$67,A212+1)</f>
        <v>0</v>
      </c>
      <c r="F212" s="95">
        <f t="shared" si="162"/>
        <v>196893.9621</v>
      </c>
      <c r="G212" s="8">
        <f t="shared" ref="G212:H212" si="205">W211</f>
        <v>124000</v>
      </c>
      <c r="H212" s="8">
        <f t="shared" si="205"/>
        <v>463364.6993</v>
      </c>
      <c r="I212" s="95">
        <f>IF(OR(A212&lt;Inputs!$B$15,G212&lt;=0),0,MIN(Financing!$B$10,G212))</f>
        <v>4000</v>
      </c>
      <c r="J212" s="8">
        <f>IF(OR(A212&lt;Inputs!$B$15,H212&lt;=0),0,H212*Inputs!$B$13/12)</f>
        <v>1834.151935</v>
      </c>
      <c r="K212" s="95">
        <f>IF(OR(A212&lt;Inputs!$B$15,H212&lt;=0),0,MIN(Financing!$C$10,H212+J212))</f>
        <v>16881.22078</v>
      </c>
      <c r="L212" s="95">
        <f t="shared" si="153"/>
        <v>20881.22078</v>
      </c>
      <c r="M212" s="8">
        <f t="shared" si="164"/>
        <v>0</v>
      </c>
      <c r="N212" s="8">
        <f t="shared" si="165"/>
        <v>10000</v>
      </c>
      <c r="O212" s="8">
        <f t="shared" si="166"/>
        <v>10000</v>
      </c>
      <c r="P212" s="8">
        <f t="shared" si="154"/>
        <v>24000</v>
      </c>
      <c r="Q212" s="95">
        <f>D212-J212-IF(C212=0,0,Inputs!$B$18)-P212</f>
        <v>48089.86501</v>
      </c>
      <c r="R212" s="8">
        <f>MAX(0,Q212-M212)*Inputs!$B$17</f>
        <v>11060.66895</v>
      </c>
      <c r="S212" s="8">
        <f t="shared" si="155"/>
        <v>0</v>
      </c>
      <c r="T212" s="95">
        <f t="shared" si="156"/>
        <v>221689.0893</v>
      </c>
      <c r="U212" s="8">
        <f>IF(AND(Inputs!$B$79=1,B212="OPEN",A212&gt;=Inputs!$B$82,C212&gt;=$D$10,MOD(C212-$D$10,$D$9)=0),MIN(MAX(0,T212-$D$8)*Inputs!$B$81,MAX(0,H212+J212-K212)),0)</f>
        <v>0</v>
      </c>
      <c r="V212" s="8">
        <f>IF(AND(Inputs!$B$79=1,B212="OPEN",A212&gt;=Inputs!$B$82,C212&gt;=$D$10,MOD(C212-$D$10,$D$9)=0),MIN(MAX(0,MAX(0,T212-$D$8)*Inputs!$B$81-U212),MAX(0,G212-I212)),0)</f>
        <v>0</v>
      </c>
      <c r="W212" s="8">
        <f t="shared" si="157"/>
        <v>120000</v>
      </c>
      <c r="X212" s="8">
        <f t="shared" si="158"/>
        <v>448317.6305</v>
      </c>
      <c r="Y212" s="8">
        <f t="shared" si="159"/>
        <v>568317.6305</v>
      </c>
      <c r="Z212" s="95">
        <f t="shared" si="160"/>
        <v>221689.0893</v>
      </c>
    </row>
    <row r="213">
      <c r="A213" s="8">
        <f t="shared" si="161"/>
        <v>42</v>
      </c>
      <c r="B213" s="96" t="str">
        <f t="array" ref="B213">INDEX('Monthly Base'!$B$5:$B$67,A213+1)</f>
        <v>OPEN</v>
      </c>
      <c r="C213" s="96">
        <f t="array" ref="C213">INDEX('Monthly Base'!$C$5:$C$67,A213+1)</f>
        <v>40</v>
      </c>
      <c r="D213" s="95">
        <f t="array" ref="D213">INDEX('Monthly Base'!$O$5:$O$67,A213+1)</f>
        <v>81859.57627</v>
      </c>
      <c r="E213" s="95">
        <f t="array" ref="E213">INDEX('Monthly Base'!$Y$5:$Y$67,A213+1)</f>
        <v>0</v>
      </c>
      <c r="F213" s="95">
        <f t="shared" si="162"/>
        <v>221689.0893</v>
      </c>
      <c r="G213" s="8">
        <f t="shared" ref="G213:H213" si="206">W212</f>
        <v>120000</v>
      </c>
      <c r="H213" s="8">
        <f t="shared" si="206"/>
        <v>448317.6305</v>
      </c>
      <c r="I213" s="95">
        <f>IF(OR(A213&lt;Inputs!$B$15,G213&lt;=0),0,MIN(Financing!$B$10,G213))</f>
        <v>4000</v>
      </c>
      <c r="J213" s="8">
        <f>IF(OR(A213&lt;Inputs!$B$15,H213&lt;=0),0,H213*Inputs!$B$13/12)</f>
        <v>1774.590621</v>
      </c>
      <c r="K213" s="95">
        <f>IF(OR(A213&lt;Inputs!$B$15,H213&lt;=0),0,MIN(Financing!$C$10,H213+J213))</f>
        <v>16881.22078</v>
      </c>
      <c r="L213" s="95">
        <f t="shared" si="153"/>
        <v>20881.22078</v>
      </c>
      <c r="M213" s="8">
        <f t="shared" si="164"/>
        <v>0</v>
      </c>
      <c r="N213" s="8">
        <f t="shared" si="165"/>
        <v>10000</v>
      </c>
      <c r="O213" s="8">
        <f t="shared" si="166"/>
        <v>10000</v>
      </c>
      <c r="P213" s="8">
        <f t="shared" si="154"/>
        <v>24000</v>
      </c>
      <c r="Q213" s="95">
        <f>D213-J213-IF(C213=0,0,Inputs!$B$18)-P213</f>
        <v>49271.98565</v>
      </c>
      <c r="R213" s="8">
        <f>MAX(0,Q213-M213)*Inputs!$B$17</f>
        <v>11332.5567</v>
      </c>
      <c r="S213" s="8">
        <f t="shared" si="155"/>
        <v>0</v>
      </c>
      <c r="T213" s="95">
        <f t="shared" si="156"/>
        <v>247334.8881</v>
      </c>
      <c r="U213" s="8">
        <f>IF(AND(Inputs!$B$79=1,B213="OPEN",A213&gt;=Inputs!$B$82,C213&gt;=$D$10,MOD(C213-$D$10,$D$9)=0),MIN(MAX(0,T213-$D$8)*Inputs!$B$81,MAX(0,H213+J213-K213)),0)</f>
        <v>0</v>
      </c>
      <c r="V213" s="8">
        <f>IF(AND(Inputs!$B$79=1,B213="OPEN",A213&gt;=Inputs!$B$82,C213&gt;=$D$10,MOD(C213-$D$10,$D$9)=0),MIN(MAX(0,MAX(0,T213-$D$8)*Inputs!$B$81-U213),MAX(0,G213-I213)),0)</f>
        <v>0</v>
      </c>
      <c r="W213" s="8">
        <f t="shared" si="157"/>
        <v>116000</v>
      </c>
      <c r="X213" s="8">
        <f t="shared" si="158"/>
        <v>433211.0003</v>
      </c>
      <c r="Y213" s="8">
        <f t="shared" si="159"/>
        <v>549211.0003</v>
      </c>
      <c r="Z213" s="95">
        <f t="shared" si="160"/>
        <v>247334.8881</v>
      </c>
    </row>
    <row r="214">
      <c r="A214" s="8">
        <f t="shared" si="161"/>
        <v>43</v>
      </c>
      <c r="B214" s="96" t="str">
        <f t="array" ref="B214">INDEX('Monthly Base'!$B$5:$B$67,A214+1)</f>
        <v>OPEN</v>
      </c>
      <c r="C214" s="96">
        <f t="array" ref="C214">INDEX('Monthly Base'!$C$5:$C$67,A214+1)</f>
        <v>41</v>
      </c>
      <c r="D214" s="95">
        <f t="array" ref="D214">INDEX('Monthly Base'!$O$5:$O$67,A214+1)</f>
        <v>82982.13559</v>
      </c>
      <c r="E214" s="95">
        <f t="array" ref="E214">INDEX('Monthly Base'!$Y$5:$Y$67,A214+1)</f>
        <v>0</v>
      </c>
      <c r="F214" s="95">
        <f t="shared" si="162"/>
        <v>247334.8881</v>
      </c>
      <c r="G214" s="8">
        <f t="shared" ref="G214:H214" si="207">W213</f>
        <v>116000</v>
      </c>
      <c r="H214" s="8">
        <f t="shared" si="207"/>
        <v>433211.0003</v>
      </c>
      <c r="I214" s="95">
        <f>IF(OR(A214&lt;Inputs!$B$15,G214&lt;=0),0,MIN(Financing!$B$10,G214))</f>
        <v>4000</v>
      </c>
      <c r="J214" s="8">
        <f>IF(OR(A214&lt;Inputs!$B$15,H214&lt;=0),0,H214*Inputs!$B$13/12)</f>
        <v>1714.793543</v>
      </c>
      <c r="K214" s="95">
        <f>IF(OR(A214&lt;Inputs!$B$15,H214&lt;=0),0,MIN(Financing!$C$10,H214+J214))</f>
        <v>16881.22078</v>
      </c>
      <c r="L214" s="95">
        <f t="shared" si="153"/>
        <v>20881.22078</v>
      </c>
      <c r="M214" s="8">
        <f t="shared" si="164"/>
        <v>0</v>
      </c>
      <c r="N214" s="8">
        <f t="shared" si="165"/>
        <v>10000</v>
      </c>
      <c r="O214" s="8">
        <f t="shared" si="166"/>
        <v>10000</v>
      </c>
      <c r="P214" s="8">
        <f t="shared" si="154"/>
        <v>24000</v>
      </c>
      <c r="Q214" s="95">
        <f>D214-J214-IF(C214=0,0,Inputs!$B$18)-P214</f>
        <v>50454.34205</v>
      </c>
      <c r="R214" s="8">
        <f>MAX(0,Q214-M214)*Inputs!$B$17</f>
        <v>11604.49867</v>
      </c>
      <c r="S214" s="8">
        <f t="shared" si="155"/>
        <v>0</v>
      </c>
      <c r="T214" s="95">
        <f t="shared" si="156"/>
        <v>273831.3042</v>
      </c>
      <c r="U214" s="8">
        <f>IF(AND(Inputs!$B$79=1,B214="OPEN",A214&gt;=Inputs!$B$82,C214&gt;=$D$10,MOD(C214-$D$10,$D$9)=0),MIN(MAX(0,T214-$D$8)*Inputs!$B$81,MAX(0,H214+J214-K214)),0)</f>
        <v>0</v>
      </c>
      <c r="V214" s="8">
        <f>IF(AND(Inputs!$B$79=1,B214="OPEN",A214&gt;=Inputs!$B$82,C214&gt;=$D$10,MOD(C214-$D$10,$D$9)=0),MIN(MAX(0,MAX(0,T214-$D$8)*Inputs!$B$81-U214),MAX(0,G214-I214)),0)</f>
        <v>0</v>
      </c>
      <c r="W214" s="8">
        <f t="shared" si="157"/>
        <v>112000</v>
      </c>
      <c r="X214" s="8">
        <f t="shared" si="158"/>
        <v>418044.5731</v>
      </c>
      <c r="Y214" s="8">
        <f t="shared" si="159"/>
        <v>530044.5731</v>
      </c>
      <c r="Z214" s="95">
        <f t="shared" si="160"/>
        <v>273831.3042</v>
      </c>
    </row>
    <row r="215">
      <c r="A215" s="8">
        <f t="shared" si="161"/>
        <v>44</v>
      </c>
      <c r="B215" s="96" t="str">
        <f t="array" ref="B215">INDEX('Monthly Base'!$B$5:$B$67,A215+1)</f>
        <v>OPEN</v>
      </c>
      <c r="C215" s="96">
        <f t="array" ref="C215">INDEX('Monthly Base'!$C$5:$C$67,A215+1)</f>
        <v>42</v>
      </c>
      <c r="D215" s="95">
        <f t="array" ref="D215">INDEX('Monthly Base'!$O$5:$O$67,A215+1)</f>
        <v>84291.78814</v>
      </c>
      <c r="E215" s="95">
        <f t="array" ref="E215">INDEX('Monthly Base'!$Y$5:$Y$67,A215+1)</f>
        <v>0</v>
      </c>
      <c r="F215" s="95">
        <f t="shared" si="162"/>
        <v>273831.3042</v>
      </c>
      <c r="G215" s="8">
        <f t="shared" ref="G215:H215" si="208">W214</f>
        <v>112000</v>
      </c>
      <c r="H215" s="8">
        <f t="shared" si="208"/>
        <v>418044.5731</v>
      </c>
      <c r="I215" s="95">
        <f>IF(OR(A215&lt;Inputs!$B$15,G215&lt;=0),0,MIN(Financing!$B$10,G215))</f>
        <v>4000</v>
      </c>
      <c r="J215" s="8">
        <f>IF(OR(A215&lt;Inputs!$B$15,H215&lt;=0),0,H215*Inputs!$B$13/12)</f>
        <v>1654.759768</v>
      </c>
      <c r="K215" s="95">
        <f>IF(OR(A215&lt;Inputs!$B$15,H215&lt;=0),0,MIN(Financing!$C$10,H215+J215))</f>
        <v>16881.22078</v>
      </c>
      <c r="L215" s="95">
        <f t="shared" si="153"/>
        <v>20881.22078</v>
      </c>
      <c r="M215" s="8">
        <f t="shared" si="164"/>
        <v>0</v>
      </c>
      <c r="N215" s="8">
        <f t="shared" si="165"/>
        <v>10000</v>
      </c>
      <c r="O215" s="8">
        <f t="shared" si="166"/>
        <v>10000</v>
      </c>
      <c r="P215" s="8">
        <f t="shared" si="154"/>
        <v>24000</v>
      </c>
      <c r="Q215" s="95">
        <f>D215-J215-IF(C215=0,0,Inputs!$B$18)-P215</f>
        <v>51824.02837</v>
      </c>
      <c r="R215" s="8">
        <f>MAX(0,Q215-M215)*Inputs!$B$17</f>
        <v>11919.52652</v>
      </c>
      <c r="S215" s="8">
        <f t="shared" si="155"/>
        <v>0</v>
      </c>
      <c r="T215" s="95">
        <f t="shared" si="156"/>
        <v>301322.3451</v>
      </c>
      <c r="U215" s="8">
        <f>IF(AND(Inputs!$B$79=1,B215="OPEN",A215&gt;=Inputs!$B$82,C215&gt;=$D$10,MOD(C215-$D$10,$D$9)=0),MIN(MAX(0,T215-$D$8)*Inputs!$B$81,MAX(0,H215+J215-K215)),0)</f>
        <v>151322.3451</v>
      </c>
      <c r="V215" s="8">
        <f>IF(AND(Inputs!$B$79=1,B215="OPEN",A215&gt;=Inputs!$B$82,C215&gt;=$D$10,MOD(C215-$D$10,$D$9)=0),MIN(MAX(0,MAX(0,T215-$D$8)*Inputs!$B$81-U215),MAX(0,G215-I215)),0)</f>
        <v>0</v>
      </c>
      <c r="W215" s="8">
        <f t="shared" si="157"/>
        <v>108000</v>
      </c>
      <c r="X215" s="8">
        <f t="shared" si="158"/>
        <v>251495.767</v>
      </c>
      <c r="Y215" s="8">
        <f t="shared" si="159"/>
        <v>359495.767</v>
      </c>
      <c r="Z215" s="95">
        <f t="shared" si="160"/>
        <v>150000</v>
      </c>
    </row>
    <row r="216">
      <c r="A216" s="8">
        <f t="shared" si="161"/>
        <v>45</v>
      </c>
      <c r="B216" s="96" t="str">
        <f t="array" ref="B216">INDEX('Monthly Base'!$B$5:$B$67,A216+1)</f>
        <v>OPEN</v>
      </c>
      <c r="C216" s="96">
        <f t="array" ref="C216">INDEX('Monthly Base'!$C$5:$C$67,A216+1)</f>
        <v>43</v>
      </c>
      <c r="D216" s="95">
        <f t="array" ref="D216">INDEX('Monthly Base'!$O$5:$O$67,A216+1)</f>
        <v>85414.34746</v>
      </c>
      <c r="E216" s="95">
        <f t="array" ref="E216">INDEX('Monthly Base'!$Y$5:$Y$67,A216+1)</f>
        <v>0</v>
      </c>
      <c r="F216" s="95">
        <f t="shared" si="162"/>
        <v>150000</v>
      </c>
      <c r="G216" s="8">
        <f t="shared" ref="G216:H216" si="209">W215</f>
        <v>108000</v>
      </c>
      <c r="H216" s="8">
        <f t="shared" si="209"/>
        <v>251495.767</v>
      </c>
      <c r="I216" s="95">
        <f>IF(OR(A216&lt;Inputs!$B$15,G216&lt;=0),0,MIN(Financing!$B$10,G216))</f>
        <v>4000</v>
      </c>
      <c r="J216" s="8">
        <f>IF(OR(A216&lt;Inputs!$B$15,H216&lt;=0),0,H216*Inputs!$B$13/12)</f>
        <v>995.5040777</v>
      </c>
      <c r="K216" s="95">
        <f>IF(OR(A216&lt;Inputs!$B$15,H216&lt;=0),0,MIN(Financing!$C$10,H216+J216))</f>
        <v>16881.22078</v>
      </c>
      <c r="L216" s="95">
        <f t="shared" si="153"/>
        <v>20881.22078</v>
      </c>
      <c r="M216" s="8">
        <f t="shared" si="164"/>
        <v>0</v>
      </c>
      <c r="N216" s="8">
        <f t="shared" si="165"/>
        <v>10000</v>
      </c>
      <c r="O216" s="8">
        <f t="shared" si="166"/>
        <v>10000</v>
      </c>
      <c r="P216" s="8">
        <f t="shared" si="154"/>
        <v>24000</v>
      </c>
      <c r="Q216" s="95">
        <f>D216-J216-IF(C216=0,0,Inputs!$B$18)-P216</f>
        <v>53605.84338</v>
      </c>
      <c r="R216" s="8">
        <f>MAX(0,Q216-M216)*Inputs!$B$17</f>
        <v>12329.34398</v>
      </c>
      <c r="S216" s="8">
        <f t="shared" si="155"/>
        <v>0</v>
      </c>
      <c r="T216" s="95">
        <f t="shared" si="156"/>
        <v>178203.7827</v>
      </c>
      <c r="U216" s="8">
        <f>IF(AND(Inputs!$B$79=1,B216="OPEN",A216&gt;=Inputs!$B$82,C216&gt;=$D$10,MOD(C216-$D$10,$D$9)=0),MIN(MAX(0,T216-$D$8)*Inputs!$B$81,MAX(0,H216+J216-K216)),0)</f>
        <v>0</v>
      </c>
      <c r="V216" s="8">
        <f>IF(AND(Inputs!$B$79=1,B216="OPEN",A216&gt;=Inputs!$B$82,C216&gt;=$D$10,MOD(C216-$D$10,$D$9)=0),MIN(MAX(0,MAX(0,T216-$D$8)*Inputs!$B$81-U216),MAX(0,G216-I216)),0)</f>
        <v>0</v>
      </c>
      <c r="W216" s="8">
        <f t="shared" si="157"/>
        <v>104000</v>
      </c>
      <c r="X216" s="8">
        <f t="shared" si="158"/>
        <v>235610.0503</v>
      </c>
      <c r="Y216" s="8">
        <f t="shared" si="159"/>
        <v>339610.0503</v>
      </c>
      <c r="Z216" s="95">
        <f t="shared" si="160"/>
        <v>178203.7827</v>
      </c>
    </row>
    <row r="217">
      <c r="A217" s="8">
        <f t="shared" si="161"/>
        <v>46</v>
      </c>
      <c r="B217" s="96" t="str">
        <f t="array" ref="B217">INDEX('Monthly Base'!$B$5:$B$67,A217+1)</f>
        <v>OPEN</v>
      </c>
      <c r="C217" s="96">
        <f t="array" ref="C217">INDEX('Monthly Base'!$C$5:$C$67,A217+1)</f>
        <v>44</v>
      </c>
      <c r="D217" s="95">
        <f t="array" ref="D217">INDEX('Monthly Base'!$O$5:$O$67,A217+1)</f>
        <v>86536.90678</v>
      </c>
      <c r="E217" s="95">
        <f t="array" ref="E217">INDEX('Monthly Base'!$Y$5:$Y$67,A217+1)</f>
        <v>0</v>
      </c>
      <c r="F217" s="95">
        <f t="shared" si="162"/>
        <v>178203.7827</v>
      </c>
      <c r="G217" s="8">
        <f t="shared" ref="G217:H217" si="210">W216</f>
        <v>104000</v>
      </c>
      <c r="H217" s="8">
        <f t="shared" si="210"/>
        <v>235610.0503</v>
      </c>
      <c r="I217" s="95">
        <f>IF(OR(A217&lt;Inputs!$B$15,G217&lt;=0),0,MIN(Financing!$B$10,G217))</f>
        <v>4000</v>
      </c>
      <c r="J217" s="8">
        <f>IF(OR(A217&lt;Inputs!$B$15,H217&lt;=0),0,H217*Inputs!$B$13/12)</f>
        <v>932.6231158</v>
      </c>
      <c r="K217" s="95">
        <f>IF(OR(A217&lt;Inputs!$B$15,H217&lt;=0),0,MIN(Financing!$C$10,H217+J217))</f>
        <v>16881.22078</v>
      </c>
      <c r="L217" s="95">
        <f t="shared" si="153"/>
        <v>20881.22078</v>
      </c>
      <c r="M217" s="8">
        <f t="shared" si="164"/>
        <v>0</v>
      </c>
      <c r="N217" s="8">
        <f t="shared" si="165"/>
        <v>10000</v>
      </c>
      <c r="O217" s="8">
        <f t="shared" si="166"/>
        <v>10000</v>
      </c>
      <c r="P217" s="8">
        <f t="shared" si="154"/>
        <v>24000</v>
      </c>
      <c r="Q217" s="95">
        <f>D217-J217-IF(C217=0,0,Inputs!$B$18)-P217</f>
        <v>54791.28366</v>
      </c>
      <c r="R217" s="8">
        <f>MAX(0,Q217-M217)*Inputs!$B$17</f>
        <v>12601.99524</v>
      </c>
      <c r="S217" s="8">
        <f t="shared" si="155"/>
        <v>0</v>
      </c>
      <c r="T217" s="95">
        <f t="shared" si="156"/>
        <v>207257.4735</v>
      </c>
      <c r="U217" s="8">
        <f>IF(AND(Inputs!$B$79=1,B217="OPEN",A217&gt;=Inputs!$B$82,C217&gt;=$D$10,MOD(C217-$D$10,$D$9)=0),MIN(MAX(0,T217-$D$8)*Inputs!$B$81,MAX(0,H217+J217-K217)),0)</f>
        <v>0</v>
      </c>
      <c r="V217" s="8">
        <f>IF(AND(Inputs!$B$79=1,B217="OPEN",A217&gt;=Inputs!$B$82,C217&gt;=$D$10,MOD(C217-$D$10,$D$9)=0),MIN(MAX(0,MAX(0,T217-$D$8)*Inputs!$B$81-U217),MAX(0,G217-I217)),0)</f>
        <v>0</v>
      </c>
      <c r="W217" s="8">
        <f t="shared" si="157"/>
        <v>100000</v>
      </c>
      <c r="X217" s="8">
        <f t="shared" si="158"/>
        <v>219661.4526</v>
      </c>
      <c r="Y217" s="8">
        <f t="shared" si="159"/>
        <v>319661.4526</v>
      </c>
      <c r="Z217" s="95">
        <f t="shared" si="160"/>
        <v>207257.4735</v>
      </c>
    </row>
    <row r="218">
      <c r="A218" s="8">
        <f t="shared" si="161"/>
        <v>47</v>
      </c>
      <c r="B218" s="96" t="str">
        <f t="array" ref="B218">INDEX('Monthly Base'!$B$5:$B$67,A218+1)</f>
        <v>OPEN</v>
      </c>
      <c r="C218" s="96">
        <f t="array" ref="C218">INDEX('Monthly Base'!$C$5:$C$67,A218+1)</f>
        <v>45</v>
      </c>
      <c r="D218" s="95">
        <f t="array" ref="D218">INDEX('Monthly Base'!$O$5:$O$67,A218+1)</f>
        <v>87659.4661</v>
      </c>
      <c r="E218" s="95">
        <f t="array" ref="E218">INDEX('Monthly Base'!$Y$5:$Y$67,A218+1)</f>
        <v>0</v>
      </c>
      <c r="F218" s="95">
        <f t="shared" si="162"/>
        <v>207257.4735</v>
      </c>
      <c r="G218" s="8">
        <f t="shared" ref="G218:H218" si="211">W217</f>
        <v>100000</v>
      </c>
      <c r="H218" s="8">
        <f t="shared" si="211"/>
        <v>219661.4526</v>
      </c>
      <c r="I218" s="95">
        <f>IF(OR(A218&lt;Inputs!$B$15,G218&lt;=0),0,MIN(Financing!$B$10,G218))</f>
        <v>4000</v>
      </c>
      <c r="J218" s="8">
        <f>IF(OR(A218&lt;Inputs!$B$15,H218&lt;=0),0,H218*Inputs!$B$13/12)</f>
        <v>869.49325</v>
      </c>
      <c r="K218" s="95">
        <f>IF(OR(A218&lt;Inputs!$B$15,H218&lt;=0),0,MIN(Financing!$C$10,H218+J218))</f>
        <v>16881.22078</v>
      </c>
      <c r="L218" s="95">
        <f t="shared" si="153"/>
        <v>20881.22078</v>
      </c>
      <c r="M218" s="8">
        <f t="shared" si="164"/>
        <v>0</v>
      </c>
      <c r="N218" s="8">
        <f t="shared" si="165"/>
        <v>10000</v>
      </c>
      <c r="O218" s="8">
        <f t="shared" si="166"/>
        <v>10000</v>
      </c>
      <c r="P218" s="8">
        <f t="shared" si="154"/>
        <v>24000</v>
      </c>
      <c r="Q218" s="95">
        <f>D218-J218-IF(C218=0,0,Inputs!$B$18)-P218</f>
        <v>55976.97285</v>
      </c>
      <c r="R218" s="8">
        <f>MAX(0,Q218-M218)*Inputs!$B$17</f>
        <v>12874.70376</v>
      </c>
      <c r="S218" s="8">
        <f t="shared" si="155"/>
        <v>0</v>
      </c>
      <c r="T218" s="95">
        <f t="shared" si="156"/>
        <v>237161.015</v>
      </c>
      <c r="U218" s="8">
        <f>IF(AND(Inputs!$B$79=1,B218="OPEN",A218&gt;=Inputs!$B$82,C218&gt;=$D$10,MOD(C218-$D$10,$D$9)=0),MIN(MAX(0,T218-$D$8)*Inputs!$B$81,MAX(0,H218+J218-K218)),0)</f>
        <v>0</v>
      </c>
      <c r="V218" s="8">
        <f>IF(AND(Inputs!$B$79=1,B218="OPEN",A218&gt;=Inputs!$B$82,C218&gt;=$D$10,MOD(C218-$D$10,$D$9)=0),MIN(MAX(0,MAX(0,T218-$D$8)*Inputs!$B$81-U218),MAX(0,G218-I218)),0)</f>
        <v>0</v>
      </c>
      <c r="W218" s="8">
        <f t="shared" si="157"/>
        <v>96000</v>
      </c>
      <c r="X218" s="8">
        <f t="shared" si="158"/>
        <v>203649.7251</v>
      </c>
      <c r="Y218" s="8">
        <f t="shared" si="159"/>
        <v>299649.7251</v>
      </c>
      <c r="Z218" s="95">
        <f t="shared" si="160"/>
        <v>237161.015</v>
      </c>
    </row>
    <row r="219">
      <c r="A219" s="8">
        <f t="shared" si="161"/>
        <v>48</v>
      </c>
      <c r="B219" s="96" t="str">
        <f t="array" ref="B219">INDEX('Monthly Base'!$B$5:$B$67,A219+1)</f>
        <v>OPEN</v>
      </c>
      <c r="C219" s="96">
        <f t="array" ref="C219">INDEX('Monthly Base'!$C$5:$C$67,A219+1)</f>
        <v>46</v>
      </c>
      <c r="D219" s="95">
        <f t="array" ref="D219">INDEX('Monthly Base'!$O$5:$O$67,A219+1)</f>
        <v>88969.11864</v>
      </c>
      <c r="E219" s="95">
        <f t="array" ref="E219">INDEX('Monthly Base'!$Y$5:$Y$67,A219+1)</f>
        <v>0</v>
      </c>
      <c r="F219" s="95">
        <f t="shared" si="162"/>
        <v>237161.015</v>
      </c>
      <c r="G219" s="8">
        <f t="shared" ref="G219:H219" si="212">W218</f>
        <v>96000</v>
      </c>
      <c r="H219" s="8">
        <f t="shared" si="212"/>
        <v>203649.7251</v>
      </c>
      <c r="I219" s="95">
        <f>IF(OR(A219&lt;Inputs!$B$15,G219&lt;=0),0,MIN(Financing!$B$10,G219))</f>
        <v>4000</v>
      </c>
      <c r="J219" s="8">
        <f>IF(OR(A219&lt;Inputs!$B$15,H219&lt;=0),0,H219*Inputs!$B$13/12)</f>
        <v>806.1134952</v>
      </c>
      <c r="K219" s="95">
        <f>IF(OR(A219&lt;Inputs!$B$15,H219&lt;=0),0,MIN(Financing!$C$10,H219+J219))</f>
        <v>16881.22078</v>
      </c>
      <c r="L219" s="95">
        <f t="shared" si="153"/>
        <v>20881.22078</v>
      </c>
      <c r="M219" s="8">
        <f t="shared" si="164"/>
        <v>0</v>
      </c>
      <c r="N219" s="8">
        <f t="shared" si="165"/>
        <v>10000</v>
      </c>
      <c r="O219" s="8">
        <f t="shared" si="166"/>
        <v>10000</v>
      </c>
      <c r="P219" s="8">
        <f t="shared" si="154"/>
        <v>24000</v>
      </c>
      <c r="Q219" s="95">
        <f>D219-J219-IF(C219=0,0,Inputs!$B$18)-P219</f>
        <v>57350.00515</v>
      </c>
      <c r="R219" s="8">
        <f>MAX(0,Q219-M219)*Inputs!$B$17</f>
        <v>13190.50118</v>
      </c>
      <c r="S219" s="8">
        <f t="shared" si="155"/>
        <v>0</v>
      </c>
      <c r="T219" s="95">
        <f t="shared" si="156"/>
        <v>268058.4117</v>
      </c>
      <c r="U219" s="8">
        <f>IF(AND(Inputs!$B$79=1,B219="OPEN",A219&gt;=Inputs!$B$82,C219&gt;=$D$10,MOD(C219-$D$10,$D$9)=0),MIN(MAX(0,T219-$D$8)*Inputs!$B$81,MAX(0,H219+J219-K219)),0)</f>
        <v>0</v>
      </c>
      <c r="V219" s="8">
        <f>IF(AND(Inputs!$B$79=1,B219="OPEN",A219&gt;=Inputs!$B$82,C219&gt;=$D$10,MOD(C219-$D$10,$D$9)=0),MIN(MAX(0,MAX(0,T219-$D$8)*Inputs!$B$81-U219),MAX(0,G219-I219)),0)</f>
        <v>0</v>
      </c>
      <c r="W219" s="8">
        <f t="shared" si="157"/>
        <v>92000</v>
      </c>
      <c r="X219" s="8">
        <f t="shared" si="158"/>
        <v>187574.6178</v>
      </c>
      <c r="Y219" s="8">
        <f t="shared" si="159"/>
        <v>279574.6178</v>
      </c>
      <c r="Z219" s="95">
        <f t="shared" si="160"/>
        <v>268058.4117</v>
      </c>
    </row>
    <row r="220">
      <c r="A220" s="8">
        <f t="shared" si="161"/>
        <v>49</v>
      </c>
      <c r="B220" s="96" t="str">
        <f t="array" ref="B220">INDEX('Monthly Base'!$B$5:$B$67,A220+1)</f>
        <v>OPEN</v>
      </c>
      <c r="C220" s="96">
        <f t="array" ref="C220">INDEX('Monthly Base'!$C$5:$C$67,A220+1)</f>
        <v>47</v>
      </c>
      <c r="D220" s="95">
        <f t="array" ref="D220">INDEX('Monthly Base'!$O$5:$O$67,A220+1)</f>
        <v>90091.67797</v>
      </c>
      <c r="E220" s="95">
        <f t="array" ref="E220">INDEX('Monthly Base'!$Y$5:$Y$67,A220+1)</f>
        <v>0</v>
      </c>
      <c r="F220" s="95">
        <f t="shared" si="162"/>
        <v>268058.4117</v>
      </c>
      <c r="G220" s="8">
        <f t="shared" ref="G220:H220" si="213">W219</f>
        <v>92000</v>
      </c>
      <c r="H220" s="8">
        <f t="shared" si="213"/>
        <v>187574.6178</v>
      </c>
      <c r="I220" s="95">
        <f>IF(OR(A220&lt;Inputs!$B$15,G220&lt;=0),0,MIN(Financing!$B$10,G220))</f>
        <v>4000</v>
      </c>
      <c r="J220" s="8">
        <f>IF(OR(A220&lt;Inputs!$B$15,H220&lt;=0),0,H220*Inputs!$B$13/12)</f>
        <v>742.4828622</v>
      </c>
      <c r="K220" s="95">
        <f>IF(OR(A220&lt;Inputs!$B$15,H220&lt;=0),0,MIN(Financing!$C$10,H220+J220))</f>
        <v>16881.22078</v>
      </c>
      <c r="L220" s="95">
        <f t="shared" si="153"/>
        <v>20881.22078</v>
      </c>
      <c r="M220" s="8">
        <f t="shared" si="164"/>
        <v>0</v>
      </c>
      <c r="N220" s="8">
        <f t="shared" si="165"/>
        <v>10000</v>
      </c>
      <c r="O220" s="8">
        <f t="shared" si="166"/>
        <v>10000</v>
      </c>
      <c r="P220" s="8">
        <f t="shared" si="154"/>
        <v>24000</v>
      </c>
      <c r="Q220" s="95">
        <f>D220-J220-IF(C220=0,0,Inputs!$B$18)-P220</f>
        <v>58536.1951</v>
      </c>
      <c r="R220" s="8">
        <f>MAX(0,Q220-M220)*Inputs!$B$17</f>
        <v>13463.32487</v>
      </c>
      <c r="S220" s="8">
        <f t="shared" si="155"/>
        <v>0</v>
      </c>
      <c r="T220" s="95">
        <f t="shared" si="156"/>
        <v>299805.544</v>
      </c>
      <c r="U220" s="8">
        <f>IF(AND(Inputs!$B$79=1,B220="OPEN",A220&gt;=Inputs!$B$82,C220&gt;=$D$10,MOD(C220-$D$10,$D$9)=0),MIN(MAX(0,T220-$D$8)*Inputs!$B$81,MAX(0,H220+J220-K220)),0)</f>
        <v>0</v>
      </c>
      <c r="V220" s="8">
        <f>IF(AND(Inputs!$B$79=1,B220="OPEN",A220&gt;=Inputs!$B$82,C220&gt;=$D$10,MOD(C220-$D$10,$D$9)=0),MIN(MAX(0,MAX(0,T220-$D$8)*Inputs!$B$81-U220),MAX(0,G220-I220)),0)</f>
        <v>0</v>
      </c>
      <c r="W220" s="8">
        <f t="shared" si="157"/>
        <v>88000</v>
      </c>
      <c r="X220" s="8">
        <f t="shared" si="158"/>
        <v>171435.8799</v>
      </c>
      <c r="Y220" s="8">
        <f t="shared" si="159"/>
        <v>259435.8799</v>
      </c>
      <c r="Z220" s="95">
        <f t="shared" si="160"/>
        <v>299805.544</v>
      </c>
    </row>
    <row r="221">
      <c r="A221" s="8">
        <f t="shared" si="161"/>
        <v>50</v>
      </c>
      <c r="B221" s="96" t="str">
        <f t="array" ref="B221">INDEX('Monthly Base'!$B$5:$B$67,A221+1)</f>
        <v>OPEN</v>
      </c>
      <c r="C221" s="96">
        <f t="array" ref="C221">INDEX('Monthly Base'!$C$5:$C$67,A221+1)</f>
        <v>48</v>
      </c>
      <c r="D221" s="95">
        <f t="array" ref="D221">INDEX('Monthly Base'!$O$5:$O$67,A221+1)</f>
        <v>91214.23729</v>
      </c>
      <c r="E221" s="95">
        <f t="array" ref="E221">INDEX('Monthly Base'!$Y$5:$Y$67,A221+1)</f>
        <v>0</v>
      </c>
      <c r="F221" s="95">
        <f t="shared" si="162"/>
        <v>299805.544</v>
      </c>
      <c r="G221" s="8">
        <f t="shared" ref="G221:H221" si="214">W220</f>
        <v>88000</v>
      </c>
      <c r="H221" s="8">
        <f t="shared" si="214"/>
        <v>171435.8799</v>
      </c>
      <c r="I221" s="95">
        <f>IF(OR(A221&lt;Inputs!$B$15,G221&lt;=0),0,MIN(Financing!$B$10,G221))</f>
        <v>4000</v>
      </c>
      <c r="J221" s="8">
        <f>IF(OR(A221&lt;Inputs!$B$15,H221&lt;=0),0,H221*Inputs!$B$13/12)</f>
        <v>678.6003579</v>
      </c>
      <c r="K221" s="95">
        <f>IF(OR(A221&lt;Inputs!$B$15,H221&lt;=0),0,MIN(Financing!$C$10,H221+J221))</f>
        <v>16881.22078</v>
      </c>
      <c r="L221" s="95">
        <f t="shared" si="153"/>
        <v>20881.22078</v>
      </c>
      <c r="M221" s="8">
        <f t="shared" si="164"/>
        <v>0</v>
      </c>
      <c r="N221" s="8">
        <f t="shared" si="165"/>
        <v>10000</v>
      </c>
      <c r="O221" s="8">
        <f t="shared" si="166"/>
        <v>10000</v>
      </c>
      <c r="P221" s="8">
        <f t="shared" si="154"/>
        <v>24000</v>
      </c>
      <c r="Q221" s="95">
        <f>D221-J221-IF(C221=0,0,Inputs!$B$18)-P221</f>
        <v>59722.63693</v>
      </c>
      <c r="R221" s="8">
        <f>MAX(0,Q221-M221)*Inputs!$B$17</f>
        <v>13736.20649</v>
      </c>
      <c r="S221" s="8">
        <f t="shared" si="155"/>
        <v>0</v>
      </c>
      <c r="T221" s="95">
        <f t="shared" si="156"/>
        <v>332402.354</v>
      </c>
      <c r="U221" s="8">
        <f>IF(AND(Inputs!$B$79=1,B221="OPEN",A221&gt;=Inputs!$B$82,C221&gt;=$D$10,MOD(C221-$D$10,$D$9)=0),MIN(MAX(0,T221-$D$8)*Inputs!$B$81,MAX(0,H221+J221-K221)),0)</f>
        <v>155233.2595</v>
      </c>
      <c r="V221" s="8">
        <f>IF(AND(Inputs!$B$79=1,B221="OPEN",A221&gt;=Inputs!$B$82,C221&gt;=$D$10,MOD(C221-$D$10,$D$9)=0),MIN(MAX(0,MAX(0,T221-$D$8)*Inputs!$B$81-U221),MAX(0,G221-I221)),0)</f>
        <v>27169.09455</v>
      </c>
      <c r="W221" s="8">
        <f t="shared" si="157"/>
        <v>56830.90545</v>
      </c>
      <c r="X221" s="8">
        <f t="shared" si="158"/>
        <v>0</v>
      </c>
      <c r="Y221" s="8">
        <f t="shared" si="159"/>
        <v>56830.90545</v>
      </c>
      <c r="Z221" s="95">
        <f t="shared" si="160"/>
        <v>150000</v>
      </c>
    </row>
    <row r="222">
      <c r="A222" s="8">
        <f t="shared" si="161"/>
        <v>51</v>
      </c>
      <c r="B222" s="96" t="str">
        <f t="array" ref="B222">INDEX('Monthly Base'!$B$5:$B$67,A222+1)</f>
        <v>OPEN</v>
      </c>
      <c r="C222" s="96">
        <f t="array" ref="C222">INDEX('Monthly Base'!$C$5:$C$67,A222+1)</f>
        <v>49</v>
      </c>
      <c r="D222" s="95">
        <f t="array" ref="D222">INDEX('Monthly Base'!$O$5:$O$67,A222+1)</f>
        <v>91962.61017</v>
      </c>
      <c r="E222" s="95">
        <f t="array" ref="E222">INDEX('Monthly Base'!$Y$5:$Y$67,A222+1)</f>
        <v>0</v>
      </c>
      <c r="F222" s="95">
        <f t="shared" si="162"/>
        <v>150000</v>
      </c>
      <c r="G222" s="8">
        <f t="shared" ref="G222:H222" si="215">W221</f>
        <v>56830.90545</v>
      </c>
      <c r="H222" s="8">
        <f t="shared" si="215"/>
        <v>0</v>
      </c>
      <c r="I222" s="95">
        <f>IF(OR(A222&lt;Inputs!$B$15,G222&lt;=0),0,MIN(Financing!$B$10,G222))</f>
        <v>4000</v>
      </c>
      <c r="J222" s="8">
        <f>IF(OR(A222&lt;Inputs!$B$15,H222&lt;=0),0,H222*Inputs!$B$13/12)</f>
        <v>0</v>
      </c>
      <c r="K222" s="8">
        <f>IF(OR(A222&lt;Inputs!$B$15,H222&lt;=0),0,MIN(Financing!$C$10,H222+J222))</f>
        <v>0</v>
      </c>
      <c r="L222" s="95">
        <f t="shared" si="153"/>
        <v>4000</v>
      </c>
      <c r="M222" s="8">
        <f t="shared" si="164"/>
        <v>0</v>
      </c>
      <c r="N222" s="8">
        <f t="shared" si="165"/>
        <v>10000</v>
      </c>
      <c r="O222" s="8">
        <f t="shared" si="166"/>
        <v>10000</v>
      </c>
      <c r="P222" s="8">
        <f t="shared" si="154"/>
        <v>24000</v>
      </c>
      <c r="Q222" s="95">
        <f>D222-J222-IF(C222=0,0,Inputs!$B$18)-P222</f>
        <v>61149.61017</v>
      </c>
      <c r="R222" s="8">
        <f>MAX(0,Q222-M222)*Inputs!$B$17</f>
        <v>14064.41034</v>
      </c>
      <c r="S222" s="8">
        <f t="shared" si="155"/>
        <v>0</v>
      </c>
      <c r="T222" s="95">
        <f t="shared" si="156"/>
        <v>199898.1998</v>
      </c>
      <c r="U222" s="8">
        <f>IF(AND(Inputs!$B$79=1,B222="OPEN",A222&gt;=Inputs!$B$82,C222&gt;=$D$10,MOD(C222-$D$10,$D$9)=0),MIN(MAX(0,T222-$D$8)*Inputs!$B$81,MAX(0,H222+J222-K222)),0)</f>
        <v>0</v>
      </c>
      <c r="V222" s="8">
        <f>IF(AND(Inputs!$B$79=1,B222="OPEN",A222&gt;=Inputs!$B$82,C222&gt;=$D$10,MOD(C222-$D$10,$D$9)=0),MIN(MAX(0,MAX(0,T222-$D$8)*Inputs!$B$81-U222),MAX(0,G222-I222)),0)</f>
        <v>0</v>
      </c>
      <c r="W222" s="8">
        <f t="shared" si="157"/>
        <v>52830.90545</v>
      </c>
      <c r="X222" s="8">
        <f t="shared" si="158"/>
        <v>0</v>
      </c>
      <c r="Y222" s="8">
        <f t="shared" si="159"/>
        <v>52830.90545</v>
      </c>
      <c r="Z222" s="95">
        <f t="shared" si="160"/>
        <v>199898.1998</v>
      </c>
    </row>
    <row r="223">
      <c r="A223" s="8">
        <f t="shared" si="161"/>
        <v>52</v>
      </c>
      <c r="B223" s="96" t="str">
        <f t="array" ref="B223">INDEX('Monthly Base'!$B$5:$B$67,A223+1)</f>
        <v>OPEN</v>
      </c>
      <c r="C223" s="96">
        <f t="array" ref="C223">INDEX('Monthly Base'!$C$5:$C$67,A223+1)</f>
        <v>50</v>
      </c>
      <c r="D223" s="95">
        <f t="array" ref="D223">INDEX('Monthly Base'!$O$5:$O$67,A223+1)</f>
        <v>92710.98305</v>
      </c>
      <c r="E223" s="95">
        <f t="array" ref="E223">INDEX('Monthly Base'!$Y$5:$Y$67,A223+1)</f>
        <v>0</v>
      </c>
      <c r="F223" s="95">
        <f t="shared" si="162"/>
        <v>199898.1998</v>
      </c>
      <c r="G223" s="8">
        <f t="shared" ref="G223:H223" si="216">W222</f>
        <v>52830.90545</v>
      </c>
      <c r="H223" s="8">
        <f t="shared" si="216"/>
        <v>0</v>
      </c>
      <c r="I223" s="95">
        <f>IF(OR(A223&lt;Inputs!$B$15,G223&lt;=0),0,MIN(Financing!$B$10,G223))</f>
        <v>4000</v>
      </c>
      <c r="J223" s="8">
        <f>IF(OR(A223&lt;Inputs!$B$15,H223&lt;=0),0,H223*Inputs!$B$13/12)</f>
        <v>0</v>
      </c>
      <c r="K223" s="8">
        <f>IF(OR(A223&lt;Inputs!$B$15,H223&lt;=0),0,MIN(Financing!$C$10,H223+J223))</f>
        <v>0</v>
      </c>
      <c r="L223" s="95">
        <f t="shared" si="153"/>
        <v>4000</v>
      </c>
      <c r="M223" s="8">
        <f t="shared" si="164"/>
        <v>0</v>
      </c>
      <c r="N223" s="8">
        <f t="shared" si="165"/>
        <v>10000</v>
      </c>
      <c r="O223" s="8">
        <f t="shared" si="166"/>
        <v>10000</v>
      </c>
      <c r="P223" s="8">
        <f t="shared" si="154"/>
        <v>24000</v>
      </c>
      <c r="Q223" s="95">
        <f>D223-J223-IF(C223=0,0,Inputs!$B$18)-P223</f>
        <v>61897.98305</v>
      </c>
      <c r="R223" s="8">
        <f>MAX(0,Q223-M223)*Inputs!$B$17</f>
        <v>14236.5361</v>
      </c>
      <c r="S223" s="8">
        <f t="shared" si="155"/>
        <v>0</v>
      </c>
      <c r="T223" s="95">
        <f t="shared" si="156"/>
        <v>250372.6468</v>
      </c>
      <c r="U223" s="8">
        <f>IF(AND(Inputs!$B$79=1,B223="OPEN",A223&gt;=Inputs!$B$82,C223&gt;=$D$10,MOD(C223-$D$10,$D$9)=0),MIN(MAX(0,T223-$D$8)*Inputs!$B$81,MAX(0,H223+J223-K223)),0)</f>
        <v>0</v>
      </c>
      <c r="V223" s="8">
        <f>IF(AND(Inputs!$B$79=1,B223="OPEN",A223&gt;=Inputs!$B$82,C223&gt;=$D$10,MOD(C223-$D$10,$D$9)=0),MIN(MAX(0,MAX(0,T223-$D$8)*Inputs!$B$81-U223),MAX(0,G223-I223)),0)</f>
        <v>0</v>
      </c>
      <c r="W223" s="8">
        <f t="shared" si="157"/>
        <v>48830.90545</v>
      </c>
      <c r="X223" s="8">
        <f t="shared" si="158"/>
        <v>0</v>
      </c>
      <c r="Y223" s="8">
        <f t="shared" si="159"/>
        <v>48830.90545</v>
      </c>
      <c r="Z223" s="95">
        <f t="shared" si="160"/>
        <v>250372.6468</v>
      </c>
    </row>
    <row r="224">
      <c r="A224" s="8">
        <f t="shared" si="161"/>
        <v>53</v>
      </c>
      <c r="B224" s="96" t="str">
        <f t="array" ref="B224">INDEX('Monthly Base'!$B$5:$B$67,A224+1)</f>
        <v>OPEN</v>
      </c>
      <c r="C224" s="96">
        <f t="array" ref="C224">INDEX('Monthly Base'!$C$5:$C$67,A224+1)</f>
        <v>51</v>
      </c>
      <c r="D224" s="95">
        <f t="array" ref="D224">INDEX('Monthly Base'!$O$5:$O$67,A224+1)</f>
        <v>93646.44915</v>
      </c>
      <c r="E224" s="95">
        <f t="array" ref="E224">INDEX('Monthly Base'!$Y$5:$Y$67,A224+1)</f>
        <v>0</v>
      </c>
      <c r="F224" s="95">
        <f t="shared" si="162"/>
        <v>250372.6468</v>
      </c>
      <c r="G224" s="8">
        <f t="shared" ref="G224:H224" si="217">W223</f>
        <v>48830.90545</v>
      </c>
      <c r="H224" s="8">
        <f t="shared" si="217"/>
        <v>0</v>
      </c>
      <c r="I224" s="95">
        <f>IF(OR(A224&lt;Inputs!$B$15,G224&lt;=0),0,MIN(Financing!$B$10,G224))</f>
        <v>4000</v>
      </c>
      <c r="J224" s="8">
        <f>IF(OR(A224&lt;Inputs!$B$15,H224&lt;=0),0,H224*Inputs!$B$13/12)</f>
        <v>0</v>
      </c>
      <c r="K224" s="8">
        <f>IF(OR(A224&lt;Inputs!$B$15,H224&lt;=0),0,MIN(Financing!$C$10,H224+J224))</f>
        <v>0</v>
      </c>
      <c r="L224" s="95">
        <f t="shared" si="153"/>
        <v>4000</v>
      </c>
      <c r="M224" s="8">
        <f t="shared" si="164"/>
        <v>0</v>
      </c>
      <c r="N224" s="8">
        <f t="shared" si="165"/>
        <v>10000</v>
      </c>
      <c r="O224" s="8">
        <f t="shared" si="166"/>
        <v>10000</v>
      </c>
      <c r="P224" s="8">
        <f t="shared" si="154"/>
        <v>24000</v>
      </c>
      <c r="Q224" s="95">
        <f>D224-J224-IF(C224=0,0,Inputs!$B$18)-P224</f>
        <v>62833.44915</v>
      </c>
      <c r="R224" s="8">
        <f>MAX(0,Q224-M224)*Inputs!$B$17</f>
        <v>14451.69331</v>
      </c>
      <c r="S224" s="8">
        <f t="shared" si="155"/>
        <v>0</v>
      </c>
      <c r="T224" s="95">
        <f t="shared" si="156"/>
        <v>301567.4026</v>
      </c>
      <c r="U224" s="8">
        <f>IF(AND(Inputs!$B$79=1,B224="OPEN",A224&gt;=Inputs!$B$82,C224&gt;=$D$10,MOD(C224-$D$10,$D$9)=0),MIN(MAX(0,T224-$D$8)*Inputs!$B$81,MAX(0,H224+J224-K224)),0)</f>
        <v>0</v>
      </c>
      <c r="V224" s="8">
        <f>IF(AND(Inputs!$B$79=1,B224="OPEN",A224&gt;=Inputs!$B$82,C224&gt;=$D$10,MOD(C224-$D$10,$D$9)=0),MIN(MAX(0,MAX(0,T224-$D$8)*Inputs!$B$81-U224),MAX(0,G224-I224)),0)</f>
        <v>0</v>
      </c>
      <c r="W224" s="8">
        <f t="shared" si="157"/>
        <v>44830.90545</v>
      </c>
      <c r="X224" s="8">
        <f t="shared" si="158"/>
        <v>0</v>
      </c>
      <c r="Y224" s="8">
        <f t="shared" si="159"/>
        <v>44830.90545</v>
      </c>
      <c r="Z224" s="95">
        <f t="shared" si="160"/>
        <v>301567.4026</v>
      </c>
    </row>
    <row r="225">
      <c r="A225" s="8">
        <f t="shared" si="161"/>
        <v>54</v>
      </c>
      <c r="B225" s="96" t="str">
        <f t="array" ref="B225">INDEX('Monthly Base'!$B$5:$B$67,A225+1)</f>
        <v>OPEN</v>
      </c>
      <c r="C225" s="96">
        <f t="array" ref="C225">INDEX('Monthly Base'!$C$5:$C$67,A225+1)</f>
        <v>52</v>
      </c>
      <c r="D225" s="95">
        <f t="array" ref="D225">INDEX('Monthly Base'!$O$5:$O$67,A225+1)</f>
        <v>94394.82203</v>
      </c>
      <c r="E225" s="95">
        <f t="array" ref="E225">INDEX('Monthly Base'!$Y$5:$Y$67,A225+1)</f>
        <v>0</v>
      </c>
      <c r="F225" s="95">
        <f t="shared" si="162"/>
        <v>301567.4026</v>
      </c>
      <c r="G225" s="8">
        <f t="shared" ref="G225:H225" si="218">W224</f>
        <v>44830.90545</v>
      </c>
      <c r="H225" s="8">
        <f t="shared" si="218"/>
        <v>0</v>
      </c>
      <c r="I225" s="95">
        <f>IF(OR(A225&lt;Inputs!$B$15,G225&lt;=0),0,MIN(Financing!$B$10,G225))</f>
        <v>4000</v>
      </c>
      <c r="J225" s="8">
        <f>IF(OR(A225&lt;Inputs!$B$15,H225&lt;=0),0,H225*Inputs!$B$13/12)</f>
        <v>0</v>
      </c>
      <c r="K225" s="8">
        <f>IF(OR(A225&lt;Inputs!$B$15,H225&lt;=0),0,MIN(Financing!$C$10,H225+J225))</f>
        <v>0</v>
      </c>
      <c r="L225" s="95">
        <f t="shared" si="153"/>
        <v>4000</v>
      </c>
      <c r="M225" s="8">
        <f t="shared" si="164"/>
        <v>0</v>
      </c>
      <c r="N225" s="8">
        <f t="shared" si="165"/>
        <v>10000</v>
      </c>
      <c r="O225" s="8">
        <f t="shared" si="166"/>
        <v>10000</v>
      </c>
      <c r="P225" s="8">
        <f t="shared" si="154"/>
        <v>24000</v>
      </c>
      <c r="Q225" s="95">
        <f>D225-J225-IF(C225=0,0,Inputs!$B$18)-P225</f>
        <v>63581.82203</v>
      </c>
      <c r="R225" s="8">
        <f>MAX(0,Q225-M225)*Inputs!$B$17</f>
        <v>14623.81907</v>
      </c>
      <c r="S225" s="8">
        <f t="shared" si="155"/>
        <v>0</v>
      </c>
      <c r="T225" s="95">
        <f t="shared" si="156"/>
        <v>353338.4056</v>
      </c>
      <c r="U225" s="8">
        <f>IF(AND(Inputs!$B$79=1,B225="OPEN",A225&gt;=Inputs!$B$82,C225&gt;=$D$10,MOD(C225-$D$10,$D$9)=0),MIN(MAX(0,T225-$D$8)*Inputs!$B$81,MAX(0,H225+J225-K225)),0)</f>
        <v>0</v>
      </c>
      <c r="V225" s="8">
        <f>IF(AND(Inputs!$B$79=1,B225="OPEN",A225&gt;=Inputs!$B$82,C225&gt;=$D$10,MOD(C225-$D$10,$D$9)=0),MIN(MAX(0,MAX(0,T225-$D$8)*Inputs!$B$81-U225),MAX(0,G225-I225)),0)</f>
        <v>0</v>
      </c>
      <c r="W225" s="8">
        <f t="shared" si="157"/>
        <v>40830.90545</v>
      </c>
      <c r="X225" s="8">
        <f t="shared" si="158"/>
        <v>0</v>
      </c>
      <c r="Y225" s="8">
        <f t="shared" si="159"/>
        <v>40830.90545</v>
      </c>
      <c r="Z225" s="95">
        <f t="shared" si="160"/>
        <v>353338.4056</v>
      </c>
    </row>
    <row r="226">
      <c r="A226" s="8">
        <f t="shared" si="161"/>
        <v>55</v>
      </c>
      <c r="B226" s="96" t="str">
        <f t="array" ref="B226">INDEX('Monthly Base'!$B$5:$B$67,A226+1)</f>
        <v>OPEN</v>
      </c>
      <c r="C226" s="96">
        <f t="array" ref="C226">INDEX('Monthly Base'!$C$5:$C$67,A226+1)</f>
        <v>53</v>
      </c>
      <c r="D226" s="95">
        <f t="array" ref="D226">INDEX('Monthly Base'!$O$5:$O$67,A226+1)</f>
        <v>95143.19492</v>
      </c>
      <c r="E226" s="95">
        <f t="array" ref="E226">INDEX('Monthly Base'!$Y$5:$Y$67,A226+1)</f>
        <v>0</v>
      </c>
      <c r="F226" s="95">
        <f t="shared" si="162"/>
        <v>353338.4056</v>
      </c>
      <c r="G226" s="8">
        <f t="shared" ref="G226:H226" si="219">W225</f>
        <v>40830.90545</v>
      </c>
      <c r="H226" s="8">
        <f t="shared" si="219"/>
        <v>0</v>
      </c>
      <c r="I226" s="95">
        <f>IF(OR(A226&lt;Inputs!$B$15,G226&lt;=0),0,MIN(Financing!$B$10,G226))</f>
        <v>4000</v>
      </c>
      <c r="J226" s="8">
        <f>IF(OR(A226&lt;Inputs!$B$15,H226&lt;=0),0,H226*Inputs!$B$13/12)</f>
        <v>0</v>
      </c>
      <c r="K226" s="8">
        <f>IF(OR(A226&lt;Inputs!$B$15,H226&lt;=0),0,MIN(Financing!$C$10,H226+J226))</f>
        <v>0</v>
      </c>
      <c r="L226" s="95">
        <f t="shared" si="153"/>
        <v>4000</v>
      </c>
      <c r="M226" s="8">
        <f t="shared" si="164"/>
        <v>0</v>
      </c>
      <c r="N226" s="8">
        <f t="shared" si="165"/>
        <v>10000</v>
      </c>
      <c r="O226" s="8">
        <f t="shared" si="166"/>
        <v>10000</v>
      </c>
      <c r="P226" s="8">
        <f t="shared" si="154"/>
        <v>24000</v>
      </c>
      <c r="Q226" s="95">
        <f>D226-J226-IF(C226=0,0,Inputs!$B$18)-P226</f>
        <v>64330.19492</v>
      </c>
      <c r="R226" s="8">
        <f>MAX(0,Q226-M226)*Inputs!$B$17</f>
        <v>14795.94483</v>
      </c>
      <c r="S226" s="8">
        <f t="shared" si="155"/>
        <v>0</v>
      </c>
      <c r="T226" s="95">
        <f t="shared" si="156"/>
        <v>405685.6557</v>
      </c>
      <c r="U226" s="8">
        <f>IF(AND(Inputs!$B$79=1,B226="OPEN",A226&gt;=Inputs!$B$82,C226&gt;=$D$10,MOD(C226-$D$10,$D$9)=0),MIN(MAX(0,T226-$D$8)*Inputs!$B$81,MAX(0,H226+J226-K226)),0)</f>
        <v>0</v>
      </c>
      <c r="V226" s="8">
        <f>IF(AND(Inputs!$B$79=1,B226="OPEN",A226&gt;=Inputs!$B$82,C226&gt;=$D$10,MOD(C226-$D$10,$D$9)=0),MIN(MAX(0,MAX(0,T226-$D$8)*Inputs!$B$81-U226),MAX(0,G226-I226)),0)</f>
        <v>0</v>
      </c>
      <c r="W226" s="8">
        <f t="shared" si="157"/>
        <v>36830.90545</v>
      </c>
      <c r="X226" s="8">
        <f t="shared" si="158"/>
        <v>0</v>
      </c>
      <c r="Y226" s="8">
        <f t="shared" si="159"/>
        <v>36830.90545</v>
      </c>
      <c r="Z226" s="95">
        <f t="shared" si="160"/>
        <v>405685.6557</v>
      </c>
    </row>
    <row r="227">
      <c r="A227" s="8">
        <f t="shared" si="161"/>
        <v>56</v>
      </c>
      <c r="B227" s="96" t="str">
        <f t="array" ref="B227">INDEX('Monthly Base'!$B$5:$B$67,A227+1)</f>
        <v>OPEN</v>
      </c>
      <c r="C227" s="96">
        <f t="array" ref="C227">INDEX('Monthly Base'!$C$5:$C$67,A227+1)</f>
        <v>54</v>
      </c>
      <c r="D227" s="95">
        <f t="array" ref="D227">INDEX('Monthly Base'!$O$5:$O$67,A227+1)</f>
        <v>95891.5678</v>
      </c>
      <c r="E227" s="95">
        <f t="array" ref="E227">INDEX('Monthly Base'!$Y$5:$Y$67,A227+1)</f>
        <v>0</v>
      </c>
      <c r="F227" s="95">
        <f t="shared" si="162"/>
        <v>405685.6557</v>
      </c>
      <c r="G227" s="8">
        <f t="shared" ref="G227:H227" si="220">W226</f>
        <v>36830.90545</v>
      </c>
      <c r="H227" s="8">
        <f t="shared" si="220"/>
        <v>0</v>
      </c>
      <c r="I227" s="95">
        <f>IF(OR(A227&lt;Inputs!$B$15,G227&lt;=0),0,MIN(Financing!$B$10,G227))</f>
        <v>4000</v>
      </c>
      <c r="J227" s="8">
        <f>IF(OR(A227&lt;Inputs!$B$15,H227&lt;=0),0,H227*Inputs!$B$13/12)</f>
        <v>0</v>
      </c>
      <c r="K227" s="8">
        <f>IF(OR(A227&lt;Inputs!$B$15,H227&lt;=0),0,MIN(Financing!$C$10,H227+J227))</f>
        <v>0</v>
      </c>
      <c r="L227" s="95">
        <f t="shared" si="153"/>
        <v>4000</v>
      </c>
      <c r="M227" s="8">
        <f t="shared" si="164"/>
        <v>0</v>
      </c>
      <c r="N227" s="8">
        <f t="shared" si="165"/>
        <v>10000</v>
      </c>
      <c r="O227" s="8">
        <f t="shared" si="166"/>
        <v>10000</v>
      </c>
      <c r="P227" s="8">
        <f t="shared" si="154"/>
        <v>24000</v>
      </c>
      <c r="Q227" s="95">
        <f>D227-J227-IF(C227=0,0,Inputs!$B$18)-P227</f>
        <v>65078.5678</v>
      </c>
      <c r="R227" s="8">
        <f>MAX(0,Q227-M227)*Inputs!$B$17</f>
        <v>14968.07059</v>
      </c>
      <c r="S227" s="8">
        <f t="shared" si="155"/>
        <v>0</v>
      </c>
      <c r="T227" s="95">
        <f t="shared" si="156"/>
        <v>458609.1529</v>
      </c>
      <c r="U227" s="8">
        <f>IF(AND(Inputs!$B$79=1,B227="OPEN",A227&gt;=Inputs!$B$82,C227&gt;=$D$10,MOD(C227-$D$10,$D$9)=0),MIN(MAX(0,T227-$D$8)*Inputs!$B$81,MAX(0,H227+J227-K227)),0)</f>
        <v>0</v>
      </c>
      <c r="V227" s="8">
        <f>IF(AND(Inputs!$B$79=1,B227="OPEN",A227&gt;=Inputs!$B$82,C227&gt;=$D$10,MOD(C227-$D$10,$D$9)=0),MIN(MAX(0,MAX(0,T227-$D$8)*Inputs!$B$81-U227),MAX(0,G227-I227)),0)</f>
        <v>32830.90545</v>
      </c>
      <c r="W227" s="8">
        <f t="shared" si="157"/>
        <v>0</v>
      </c>
      <c r="X227" s="8">
        <f t="shared" si="158"/>
        <v>0</v>
      </c>
      <c r="Y227" s="8">
        <f t="shared" si="159"/>
        <v>0</v>
      </c>
      <c r="Z227" s="95">
        <f t="shared" si="160"/>
        <v>425778.2474</v>
      </c>
    </row>
    <row r="228">
      <c r="A228" s="8">
        <f t="shared" si="161"/>
        <v>57</v>
      </c>
      <c r="B228" s="96" t="str">
        <f t="array" ref="B228">INDEX('Monthly Base'!$B$5:$B$67,A228+1)</f>
        <v>OPEN</v>
      </c>
      <c r="C228" s="96">
        <f t="array" ref="C228">INDEX('Monthly Base'!$C$5:$C$67,A228+1)</f>
        <v>55</v>
      </c>
      <c r="D228" s="95">
        <f t="array" ref="D228">INDEX('Monthly Base'!$O$5:$O$67,A228+1)</f>
        <v>96639.94068</v>
      </c>
      <c r="E228" s="95">
        <f t="array" ref="E228">INDEX('Monthly Base'!$Y$5:$Y$67,A228+1)</f>
        <v>0</v>
      </c>
      <c r="F228" s="95">
        <f t="shared" si="162"/>
        <v>425778.2474</v>
      </c>
      <c r="G228" s="8">
        <f t="shared" ref="G228:H228" si="221">W227</f>
        <v>0</v>
      </c>
      <c r="H228" s="8">
        <f t="shared" si="221"/>
        <v>0</v>
      </c>
      <c r="I228" s="8">
        <f>IF(OR(A228&lt;Inputs!$B$15,G228&lt;=0),0,MIN(Financing!$B$10,G228))</f>
        <v>0</v>
      </c>
      <c r="J228" s="8">
        <f>IF(OR(A228&lt;Inputs!$B$15,H228&lt;=0),0,H228*Inputs!$B$13/12)</f>
        <v>0</v>
      </c>
      <c r="K228" s="8">
        <f>IF(OR(A228&lt;Inputs!$B$15,H228&lt;=0),0,MIN(Financing!$C$10,H228+J228))</f>
        <v>0</v>
      </c>
      <c r="L228" s="8">
        <f t="shared" si="153"/>
        <v>0</v>
      </c>
      <c r="M228" s="8">
        <f t="shared" si="164"/>
        <v>0</v>
      </c>
      <c r="N228" s="8">
        <f t="shared" si="165"/>
        <v>10000</v>
      </c>
      <c r="O228" s="8">
        <f t="shared" si="166"/>
        <v>10000</v>
      </c>
      <c r="P228" s="8">
        <f t="shared" si="154"/>
        <v>24000</v>
      </c>
      <c r="Q228" s="95">
        <f>D228-J228-IF(C228=0,0,Inputs!$B$18)-P228</f>
        <v>65826.94068</v>
      </c>
      <c r="R228" s="8">
        <f>MAX(0,Q228-M228)*Inputs!$B$17</f>
        <v>15140.19636</v>
      </c>
      <c r="S228" s="8">
        <f t="shared" si="155"/>
        <v>0</v>
      </c>
      <c r="T228" s="95">
        <f t="shared" si="156"/>
        <v>483277.9917</v>
      </c>
      <c r="U228" s="8">
        <f>IF(AND(Inputs!$B$79=1,B228="OPEN",A228&gt;=Inputs!$B$82,C228&gt;=$D$10,MOD(C228-$D$10,$D$9)=0),MIN(MAX(0,T228-$D$8)*Inputs!$B$81,MAX(0,H228+J228-K228)),0)</f>
        <v>0</v>
      </c>
      <c r="V228" s="8">
        <f>IF(AND(Inputs!$B$79=1,B228="OPEN",A228&gt;=Inputs!$B$82,C228&gt;=$D$10,MOD(C228-$D$10,$D$9)=0),MIN(MAX(0,MAX(0,T228-$D$8)*Inputs!$B$81-U228),MAX(0,G228-I228)),0)</f>
        <v>0</v>
      </c>
      <c r="W228" s="8">
        <f t="shared" si="157"/>
        <v>0</v>
      </c>
      <c r="X228" s="8">
        <f t="shared" si="158"/>
        <v>0</v>
      </c>
      <c r="Y228" s="8">
        <f t="shared" si="159"/>
        <v>0</v>
      </c>
      <c r="Z228" s="95">
        <f t="shared" si="160"/>
        <v>483277.9917</v>
      </c>
    </row>
    <row r="229">
      <c r="A229" s="8">
        <f t="shared" si="161"/>
        <v>58</v>
      </c>
      <c r="B229" s="96" t="str">
        <f t="array" ref="B229">INDEX('Monthly Base'!$B$5:$B$67,A229+1)</f>
        <v>OPEN</v>
      </c>
      <c r="C229" s="96">
        <f t="array" ref="C229">INDEX('Monthly Base'!$C$5:$C$67,A229+1)</f>
        <v>56</v>
      </c>
      <c r="D229" s="95">
        <f t="array" ref="D229">INDEX('Monthly Base'!$O$5:$O$67,A229+1)</f>
        <v>97388.31356</v>
      </c>
      <c r="E229" s="95">
        <f t="array" ref="E229">INDEX('Monthly Base'!$Y$5:$Y$67,A229+1)</f>
        <v>0</v>
      </c>
      <c r="F229" s="95">
        <f t="shared" si="162"/>
        <v>483277.9917</v>
      </c>
      <c r="G229" s="8">
        <f t="shared" ref="G229:H229" si="222">W228</f>
        <v>0</v>
      </c>
      <c r="H229" s="8">
        <f t="shared" si="222"/>
        <v>0</v>
      </c>
      <c r="I229" s="8">
        <f>IF(OR(A229&lt;Inputs!$B$15,G229&lt;=0),0,MIN(Financing!$B$10,G229))</f>
        <v>0</v>
      </c>
      <c r="J229" s="8">
        <f>IF(OR(A229&lt;Inputs!$B$15,H229&lt;=0),0,H229*Inputs!$B$13/12)</f>
        <v>0</v>
      </c>
      <c r="K229" s="8">
        <f>IF(OR(A229&lt;Inputs!$B$15,H229&lt;=0),0,MIN(Financing!$C$10,H229+J229))</f>
        <v>0</v>
      </c>
      <c r="L229" s="8">
        <f t="shared" si="153"/>
        <v>0</v>
      </c>
      <c r="M229" s="8">
        <f t="shared" si="164"/>
        <v>0</v>
      </c>
      <c r="N229" s="8">
        <f t="shared" si="165"/>
        <v>10000</v>
      </c>
      <c r="O229" s="8">
        <f t="shared" si="166"/>
        <v>10000</v>
      </c>
      <c r="P229" s="8">
        <f t="shared" si="154"/>
        <v>24000</v>
      </c>
      <c r="Q229" s="95">
        <f>D229-J229-IF(C229=0,0,Inputs!$B$18)-P229</f>
        <v>66575.31356</v>
      </c>
      <c r="R229" s="8">
        <f>MAX(0,Q229-M229)*Inputs!$B$17</f>
        <v>15312.32212</v>
      </c>
      <c r="S229" s="8">
        <f t="shared" si="155"/>
        <v>0</v>
      </c>
      <c r="T229" s="95">
        <f t="shared" si="156"/>
        <v>541353.9832</v>
      </c>
      <c r="U229" s="8">
        <f>IF(AND(Inputs!$B$79=1,B229="OPEN",A229&gt;=Inputs!$B$82,C229&gt;=$D$10,MOD(C229-$D$10,$D$9)=0),MIN(MAX(0,T229-$D$8)*Inputs!$B$81,MAX(0,H229+J229-K229)),0)</f>
        <v>0</v>
      </c>
      <c r="V229" s="8">
        <f>IF(AND(Inputs!$B$79=1,B229="OPEN",A229&gt;=Inputs!$B$82,C229&gt;=$D$10,MOD(C229-$D$10,$D$9)=0),MIN(MAX(0,MAX(0,T229-$D$8)*Inputs!$B$81-U229),MAX(0,G229-I229)),0)</f>
        <v>0</v>
      </c>
      <c r="W229" s="8">
        <f t="shared" si="157"/>
        <v>0</v>
      </c>
      <c r="X229" s="8">
        <f t="shared" si="158"/>
        <v>0</v>
      </c>
      <c r="Y229" s="8">
        <f t="shared" si="159"/>
        <v>0</v>
      </c>
      <c r="Z229" s="95">
        <f t="shared" si="160"/>
        <v>541353.9832</v>
      </c>
    </row>
    <row r="230">
      <c r="A230" s="8">
        <f t="shared" si="161"/>
        <v>59</v>
      </c>
      <c r="B230" s="96" t="str">
        <f t="array" ref="B230">INDEX('Monthly Base'!$B$5:$B$67,A230+1)</f>
        <v>OPEN</v>
      </c>
      <c r="C230" s="96">
        <f t="array" ref="C230">INDEX('Monthly Base'!$C$5:$C$67,A230+1)</f>
        <v>57</v>
      </c>
      <c r="D230" s="95">
        <f t="array" ref="D230">INDEX('Monthly Base'!$O$5:$O$67,A230+1)</f>
        <v>98323.77966</v>
      </c>
      <c r="E230" s="95">
        <f t="array" ref="E230">INDEX('Monthly Base'!$Y$5:$Y$67,A230+1)</f>
        <v>0</v>
      </c>
      <c r="F230" s="95">
        <f t="shared" si="162"/>
        <v>541353.9832</v>
      </c>
      <c r="G230" s="8">
        <f t="shared" ref="G230:H230" si="223">W229</f>
        <v>0</v>
      </c>
      <c r="H230" s="8">
        <f t="shared" si="223"/>
        <v>0</v>
      </c>
      <c r="I230" s="8">
        <f>IF(OR(A230&lt;Inputs!$B$15,G230&lt;=0),0,MIN(Financing!$B$10,G230))</f>
        <v>0</v>
      </c>
      <c r="J230" s="8">
        <f>IF(OR(A230&lt;Inputs!$B$15,H230&lt;=0),0,H230*Inputs!$B$13/12)</f>
        <v>0</v>
      </c>
      <c r="K230" s="8">
        <f>IF(OR(A230&lt;Inputs!$B$15,H230&lt;=0),0,MIN(Financing!$C$10,H230+J230))</f>
        <v>0</v>
      </c>
      <c r="L230" s="8">
        <f t="shared" si="153"/>
        <v>0</v>
      </c>
      <c r="M230" s="8">
        <f t="shared" si="164"/>
        <v>0</v>
      </c>
      <c r="N230" s="8">
        <f t="shared" si="165"/>
        <v>10000</v>
      </c>
      <c r="O230" s="8">
        <f t="shared" si="166"/>
        <v>10000</v>
      </c>
      <c r="P230" s="8">
        <f t="shared" si="154"/>
        <v>24000</v>
      </c>
      <c r="Q230" s="95">
        <f>D230-J230-IF(C230=0,0,Inputs!$B$18)-P230</f>
        <v>67510.77966</v>
      </c>
      <c r="R230" s="8">
        <f>MAX(0,Q230-M230)*Inputs!$B$17</f>
        <v>15527.47932</v>
      </c>
      <c r="S230" s="8">
        <f t="shared" si="155"/>
        <v>0</v>
      </c>
      <c r="T230" s="95">
        <f t="shared" si="156"/>
        <v>600150.2835</v>
      </c>
      <c r="U230" s="8">
        <f>IF(AND(Inputs!$B$79=1,B230="OPEN",A230&gt;=Inputs!$B$82,C230&gt;=$D$10,MOD(C230-$D$10,$D$9)=0),MIN(MAX(0,T230-$D$8)*Inputs!$B$81,MAX(0,H230+J230-K230)),0)</f>
        <v>0</v>
      </c>
      <c r="V230" s="8">
        <f>IF(AND(Inputs!$B$79=1,B230="OPEN",A230&gt;=Inputs!$B$82,C230&gt;=$D$10,MOD(C230-$D$10,$D$9)=0),MIN(MAX(0,MAX(0,T230-$D$8)*Inputs!$B$81-U230),MAX(0,G230-I230)),0)</f>
        <v>0</v>
      </c>
      <c r="W230" s="8">
        <f t="shared" si="157"/>
        <v>0</v>
      </c>
      <c r="X230" s="8">
        <f t="shared" si="158"/>
        <v>0</v>
      </c>
      <c r="Y230" s="8">
        <f t="shared" si="159"/>
        <v>0</v>
      </c>
      <c r="Z230" s="95">
        <f t="shared" si="160"/>
        <v>600150.2835</v>
      </c>
    </row>
    <row r="231">
      <c r="A231" s="8">
        <f t="shared" si="161"/>
        <v>60</v>
      </c>
      <c r="B231" s="96" t="str">
        <f t="array" ref="B231">INDEX('Monthly Base'!$B$5:$B$67,A231+1)</f>
        <v>OPEN</v>
      </c>
      <c r="C231" s="96">
        <f t="array" ref="C231">INDEX('Monthly Base'!$C$5:$C$67,A231+1)</f>
        <v>58</v>
      </c>
      <c r="D231" s="95">
        <f t="array" ref="D231">INDEX('Monthly Base'!$O$5:$O$67,A231+1)</f>
        <v>99072.15254</v>
      </c>
      <c r="E231" s="95">
        <f t="array" ref="E231">INDEX('Monthly Base'!$Y$5:$Y$67,A231+1)</f>
        <v>0</v>
      </c>
      <c r="F231" s="95">
        <f t="shared" si="162"/>
        <v>600150.2835</v>
      </c>
      <c r="G231" s="8">
        <f t="shared" ref="G231:H231" si="224">W230</f>
        <v>0</v>
      </c>
      <c r="H231" s="8">
        <f t="shared" si="224"/>
        <v>0</v>
      </c>
      <c r="I231" s="8">
        <f>IF(OR(A231&lt;Inputs!$B$15,G231&lt;=0),0,MIN(Financing!$B$10,G231))</f>
        <v>0</v>
      </c>
      <c r="J231" s="8">
        <f>IF(OR(A231&lt;Inputs!$B$15,H231&lt;=0),0,H231*Inputs!$B$13/12)</f>
        <v>0</v>
      </c>
      <c r="K231" s="8">
        <f>IF(OR(A231&lt;Inputs!$B$15,H231&lt;=0),0,MIN(Financing!$C$10,H231+J231))</f>
        <v>0</v>
      </c>
      <c r="L231" s="8">
        <f t="shared" si="153"/>
        <v>0</v>
      </c>
      <c r="M231" s="8">
        <f t="shared" si="164"/>
        <v>0</v>
      </c>
      <c r="N231" s="8">
        <f t="shared" si="165"/>
        <v>10000</v>
      </c>
      <c r="O231" s="8">
        <f t="shared" si="166"/>
        <v>10000</v>
      </c>
      <c r="P231" s="8">
        <f t="shared" si="154"/>
        <v>24000</v>
      </c>
      <c r="Q231" s="95">
        <f>D231-J231-IF(C231=0,0,Inputs!$B$18)-P231</f>
        <v>68259.15254</v>
      </c>
      <c r="R231" s="8">
        <f>MAX(0,Q231-M231)*Inputs!$B$17</f>
        <v>15699.60508</v>
      </c>
      <c r="S231" s="8">
        <f t="shared" si="155"/>
        <v>0</v>
      </c>
      <c r="T231" s="95">
        <f t="shared" si="156"/>
        <v>659522.831</v>
      </c>
      <c r="U231" s="8">
        <f>IF(AND(Inputs!$B$79=1,B231="OPEN",A231&gt;=Inputs!$B$82,C231&gt;=$D$10,MOD(C231-$D$10,$D$9)=0),MIN(MAX(0,T231-$D$8)*Inputs!$B$81,MAX(0,H231+J231-K231)),0)</f>
        <v>0</v>
      </c>
      <c r="V231" s="8">
        <f>IF(AND(Inputs!$B$79=1,B231="OPEN",A231&gt;=Inputs!$B$82,C231&gt;=$D$10,MOD(C231-$D$10,$D$9)=0),MIN(MAX(0,MAX(0,T231-$D$8)*Inputs!$B$81-U231),MAX(0,G231-I231)),0)</f>
        <v>0</v>
      </c>
      <c r="W231" s="8">
        <f t="shared" si="157"/>
        <v>0</v>
      </c>
      <c r="X231" s="8">
        <f t="shared" si="158"/>
        <v>0</v>
      </c>
      <c r="Y231" s="8">
        <f t="shared" si="159"/>
        <v>0</v>
      </c>
      <c r="Z231" s="95">
        <f t="shared" si="160"/>
        <v>659522.831</v>
      </c>
    </row>
    <row r="232">
      <c r="A232" s="8">
        <f t="shared" si="161"/>
        <v>61</v>
      </c>
      <c r="B232" s="96" t="str">
        <f t="array" ref="B232">INDEX('Monthly Base'!$B$5:$B$67,A232+1)</f>
        <v>OPEN</v>
      </c>
      <c r="C232" s="96">
        <f t="array" ref="C232">INDEX('Monthly Base'!$C$5:$C$67,A232+1)</f>
        <v>59</v>
      </c>
      <c r="D232" s="95">
        <f t="array" ref="D232">INDEX('Monthly Base'!$O$5:$O$67,A232+1)</f>
        <v>99820.52542</v>
      </c>
      <c r="E232" s="95">
        <f t="array" ref="E232">INDEX('Monthly Base'!$Y$5:$Y$67,A232+1)</f>
        <v>0</v>
      </c>
      <c r="F232" s="95">
        <f t="shared" si="162"/>
        <v>659522.831</v>
      </c>
      <c r="G232" s="8">
        <f t="shared" ref="G232:H232" si="225">W231</f>
        <v>0</v>
      </c>
      <c r="H232" s="8">
        <f t="shared" si="225"/>
        <v>0</v>
      </c>
      <c r="I232" s="8">
        <f>IF(OR(A232&lt;Inputs!$B$15,G232&lt;=0),0,MIN(Financing!$B$10,G232))</f>
        <v>0</v>
      </c>
      <c r="J232" s="8">
        <f>IF(OR(A232&lt;Inputs!$B$15,H232&lt;=0),0,H232*Inputs!$B$13/12)</f>
        <v>0</v>
      </c>
      <c r="K232" s="8">
        <f>IF(OR(A232&lt;Inputs!$B$15,H232&lt;=0),0,MIN(Financing!$C$10,H232+J232))</f>
        <v>0</v>
      </c>
      <c r="L232" s="8">
        <f t="shared" si="153"/>
        <v>0</v>
      </c>
      <c r="M232" s="8">
        <f t="shared" si="164"/>
        <v>0</v>
      </c>
      <c r="N232" s="8">
        <f t="shared" si="165"/>
        <v>10000</v>
      </c>
      <c r="O232" s="8">
        <f t="shared" si="166"/>
        <v>10000</v>
      </c>
      <c r="P232" s="8">
        <f t="shared" si="154"/>
        <v>24000</v>
      </c>
      <c r="Q232" s="95">
        <f>D232-J232-IF(C232=0,0,Inputs!$B$18)-P232</f>
        <v>69007.52542</v>
      </c>
      <c r="R232" s="8">
        <f>MAX(0,Q232-M232)*Inputs!$B$17</f>
        <v>15871.73085</v>
      </c>
      <c r="S232" s="8">
        <f t="shared" si="155"/>
        <v>0</v>
      </c>
      <c r="T232" s="95">
        <f t="shared" si="156"/>
        <v>719471.6256</v>
      </c>
      <c r="U232" s="8">
        <f>IF(AND(Inputs!$B$79=1,B232="OPEN",A232&gt;=Inputs!$B$82,C232&gt;=$D$10,MOD(C232-$D$10,$D$9)=0),MIN(MAX(0,T232-$D$8)*Inputs!$B$81,MAX(0,H232+J232-K232)),0)</f>
        <v>0</v>
      </c>
      <c r="V232" s="8">
        <f>IF(AND(Inputs!$B$79=1,B232="OPEN",A232&gt;=Inputs!$B$82,C232&gt;=$D$10,MOD(C232-$D$10,$D$9)=0),MIN(MAX(0,MAX(0,T232-$D$8)*Inputs!$B$81-U232),MAX(0,G232-I232)),0)</f>
        <v>0</v>
      </c>
      <c r="W232" s="8">
        <f t="shared" si="157"/>
        <v>0</v>
      </c>
      <c r="X232" s="8">
        <f t="shared" si="158"/>
        <v>0</v>
      </c>
      <c r="Y232" s="8">
        <f t="shared" si="159"/>
        <v>0</v>
      </c>
      <c r="Z232" s="95">
        <f t="shared" si="160"/>
        <v>719471.6256</v>
      </c>
    </row>
    <row r="233">
      <c r="A233" s="8">
        <f t="shared" si="161"/>
        <v>62</v>
      </c>
      <c r="B233" s="96" t="str">
        <f t="array" ref="B233">INDEX('Monthly Base'!$B$5:$B$67,A233+1)</f>
        <v>OPEN</v>
      </c>
      <c r="C233" s="96">
        <f t="array" ref="C233">INDEX('Monthly Base'!$C$5:$C$67,A233+1)</f>
        <v>60</v>
      </c>
      <c r="D233" s="95">
        <f t="array" ref="D233">INDEX('Monthly Base'!$O$5:$O$67,A233+1)</f>
        <v>100568.8983</v>
      </c>
      <c r="E233" s="95">
        <f t="array" ref="E233">INDEX('Monthly Base'!$Y$5:$Y$67,A233+1)</f>
        <v>0</v>
      </c>
      <c r="F233" s="95">
        <f t="shared" si="162"/>
        <v>719471.6256</v>
      </c>
      <c r="G233" s="8">
        <f t="shared" ref="G233:H233" si="226">W232</f>
        <v>0</v>
      </c>
      <c r="H233" s="8">
        <f t="shared" si="226"/>
        <v>0</v>
      </c>
      <c r="I233" s="8">
        <f>IF(OR(A233&lt;Inputs!$B$15,G233&lt;=0),0,MIN(Financing!$B$10,G233))</f>
        <v>0</v>
      </c>
      <c r="J233" s="8">
        <f>IF(OR(A233&lt;Inputs!$B$15,H233&lt;=0),0,H233*Inputs!$B$13/12)</f>
        <v>0</v>
      </c>
      <c r="K233" s="8">
        <f>IF(OR(A233&lt;Inputs!$B$15,H233&lt;=0),0,MIN(Financing!$C$10,H233+J233))</f>
        <v>0</v>
      </c>
      <c r="L233" s="8">
        <f t="shared" si="153"/>
        <v>0</v>
      </c>
      <c r="M233" s="8">
        <f t="shared" si="164"/>
        <v>0</v>
      </c>
      <c r="N233" s="8">
        <f t="shared" si="165"/>
        <v>10000</v>
      </c>
      <c r="O233" s="8">
        <f t="shared" si="166"/>
        <v>10000</v>
      </c>
      <c r="P233" s="8">
        <f t="shared" si="154"/>
        <v>24000</v>
      </c>
      <c r="Q233" s="95">
        <f>D233-J233-IF(C233=0,0,Inputs!$B$18)-P233</f>
        <v>69755.89831</v>
      </c>
      <c r="R233" s="8">
        <f>MAX(0,Q233-M233)*Inputs!$B$17</f>
        <v>16043.85661</v>
      </c>
      <c r="S233" s="8">
        <f t="shared" si="155"/>
        <v>0</v>
      </c>
      <c r="T233" s="95">
        <f t="shared" si="156"/>
        <v>779996.6673</v>
      </c>
      <c r="U233" s="8">
        <f>IF(AND(Inputs!$B$79=1,B233="OPEN",A233&gt;=Inputs!$B$82,C233&gt;=$D$10,MOD(C233-$D$10,$D$9)=0),MIN(MAX(0,T233-$D$8)*Inputs!$B$81,MAX(0,H233+J233-K233)),0)</f>
        <v>0</v>
      </c>
      <c r="V233" s="8">
        <f>IF(AND(Inputs!$B$79=1,B233="OPEN",A233&gt;=Inputs!$B$82,C233&gt;=$D$10,MOD(C233-$D$10,$D$9)=0),MIN(MAX(0,MAX(0,T233-$D$8)*Inputs!$B$81-U233),MAX(0,G233-I233)),0)</f>
        <v>0</v>
      </c>
      <c r="W233" s="8">
        <f t="shared" si="157"/>
        <v>0</v>
      </c>
      <c r="X233" s="8">
        <f t="shared" si="158"/>
        <v>0</v>
      </c>
      <c r="Y233" s="8">
        <f t="shared" si="159"/>
        <v>0</v>
      </c>
      <c r="Z233" s="95">
        <f t="shared" si="160"/>
        <v>779996.6673</v>
      </c>
    </row>
    <row r="240">
      <c r="A240" s="21" t="s">
        <v>304</v>
      </c>
      <c r="B240" s="21" t="s">
        <v>316</v>
      </c>
      <c r="C240" s="21" t="s">
        <v>317</v>
      </c>
      <c r="D240" s="21" t="s">
        <v>329</v>
      </c>
      <c r="E240" s="21" t="s">
        <v>474</v>
      </c>
      <c r="F240" s="21" t="s">
        <v>475</v>
      </c>
      <c r="G240" s="21" t="s">
        <v>476</v>
      </c>
      <c r="H240" s="21" t="s">
        <v>477</v>
      </c>
      <c r="I240" s="21" t="s">
        <v>478</v>
      </c>
      <c r="J240" s="21" t="s">
        <v>332</v>
      </c>
      <c r="K240" s="21" t="s">
        <v>479</v>
      </c>
      <c r="L240" s="21" t="s">
        <v>480</v>
      </c>
      <c r="M240" s="21" t="s">
        <v>335</v>
      </c>
      <c r="N240" s="21" t="s">
        <v>481</v>
      </c>
      <c r="O240" s="21" t="s">
        <v>482</v>
      </c>
      <c r="P240" s="21" t="s">
        <v>483</v>
      </c>
      <c r="Q240" s="21" t="s">
        <v>334</v>
      </c>
      <c r="R240" s="21" t="s">
        <v>484</v>
      </c>
      <c r="S240" s="21" t="s">
        <v>338</v>
      </c>
      <c r="T240" s="21" t="s">
        <v>485</v>
      </c>
      <c r="U240" s="21" t="s">
        <v>486</v>
      </c>
      <c r="V240" s="21" t="s">
        <v>487</v>
      </c>
      <c r="W240" s="21" t="s">
        <v>488</v>
      </c>
      <c r="X240" s="21" t="s">
        <v>489</v>
      </c>
      <c r="Y240" s="21" t="s">
        <v>490</v>
      </c>
      <c r="Z240" s="21" t="s">
        <v>491</v>
      </c>
    </row>
    <row r="241">
      <c r="A241" s="21">
        <v>0.0</v>
      </c>
      <c r="B241" s="96" t="str">
        <f t="array" ref="B241">INDEX('Monthly Base'!$B$5:$B$67,A241+1)</f>
        <v>BUILD</v>
      </c>
      <c r="C241" s="96">
        <f t="array" ref="C241">INDEX('Monthly Base'!$C$5:$C$67,A241+1)</f>
        <v>0</v>
      </c>
      <c r="D241" s="95">
        <f t="array" ref="D241">INDEX('Monthly Base'!$O$5:$O$67,A241+1)</f>
        <v>-20018</v>
      </c>
      <c r="E241" s="95">
        <f t="array" ref="E241">INDEX('Monthly Base'!$Y$5:$Y$67,A241+1)</f>
        <v>0</v>
      </c>
      <c r="F241" s="95">
        <f>'Startup &amp; Funding'!$B$19</f>
        <v>68990.0014</v>
      </c>
      <c r="G241" s="95">
        <f>Inputs!$B$9</f>
        <v>240000</v>
      </c>
      <c r="H241" s="95">
        <f>Inputs!$B$10</f>
        <v>900000</v>
      </c>
      <c r="I241" s="8">
        <f>IF(OR(A241&lt;Inputs!$B$15,G241&lt;=0),0,MIN(Financing!$B$10,G241))</f>
        <v>0</v>
      </c>
      <c r="J241" s="8">
        <f>IF(OR(A241&lt;Inputs!$B$15,H241&lt;=0),0,H241*Inputs!$B$13/12)</f>
        <v>0</v>
      </c>
      <c r="K241" s="8">
        <f>IF(OR(A241&lt;Inputs!$B$15,H241&lt;=0),0,MIN(Financing!$C$10,H241+J241))</f>
        <v>0</v>
      </c>
      <c r="L241" s="8">
        <f t="shared" ref="L241:L303" si="228">I241+K241</f>
        <v>0</v>
      </c>
      <c r="M241" s="21">
        <v>0.0</v>
      </c>
      <c r="N241" s="21">
        <v>0.0</v>
      </c>
      <c r="O241" s="21">
        <v>0.0</v>
      </c>
      <c r="P241" s="8">
        <f t="shared" ref="P241:P303" si="229">(N241+O241)*(1+$E$11)</f>
        <v>0</v>
      </c>
      <c r="Q241" s="95">
        <f>D241-J241-IF(C241=0,0,Inputs!$B$18)-P241</f>
        <v>-20018</v>
      </c>
      <c r="R241" s="8">
        <f>MAX(0,Q241-M241)*Inputs!$B$17</f>
        <v>0</v>
      </c>
      <c r="S241" s="8">
        <f t="shared" ref="S241:S303" si="230">MAX(0,M241-MAX(0,Q241))+MAX(0,-Q241)</f>
        <v>20018</v>
      </c>
      <c r="T241" s="95">
        <f t="shared" ref="T241:T303" si="231">F241+D241+E241-L241-P241-R241</f>
        <v>48972.0014</v>
      </c>
      <c r="U241" s="8">
        <f>IF(AND(Inputs!$B$79=1,B241="OPEN",A241&gt;=Inputs!$B$82,C241&gt;=$E$10,MOD(C241-$E$10,$E$9)=0),MIN(MAX(0,T241-$E$8)*Inputs!$B$81,MAX(0,H241+J241-K241)),0)</f>
        <v>0</v>
      </c>
      <c r="V241" s="8">
        <f>IF(AND(Inputs!$B$79=1,B241="OPEN",A241&gt;=Inputs!$B$82,C241&gt;=$E$10,MOD(C241-$E$10,$E$9)=0),MIN(MAX(0,MAX(0,T241-$E$8)*Inputs!$B$81-U241),MAX(0,G241-I241)),0)</f>
        <v>0</v>
      </c>
      <c r="W241" s="8">
        <f t="shared" ref="W241:W303" si="232">MAX(0,G241-I241-V241)</f>
        <v>240000</v>
      </c>
      <c r="X241" s="8">
        <f t="shared" ref="X241:X303" si="233">MAX(0,H241+J241-K241-U241)</f>
        <v>900000</v>
      </c>
      <c r="Y241" s="8">
        <f t="shared" ref="Y241:Y303" si="234">W241+X241</f>
        <v>1140000</v>
      </c>
      <c r="Z241" s="95">
        <f t="shared" ref="Z241:Z303" si="235">T241-U241-V241</f>
        <v>48972.0014</v>
      </c>
    </row>
    <row r="242">
      <c r="A242" s="8">
        <f t="shared" ref="A242:A303" si="236">A241+1</f>
        <v>1</v>
      </c>
      <c r="B242" s="96" t="str">
        <f t="array" ref="B242">INDEX('Monthly Base'!$B$5:$B$67,A242+1)</f>
        <v>BUILD</v>
      </c>
      <c r="C242" s="96">
        <f t="array" ref="C242">INDEX('Monthly Base'!$C$5:$C$67,A242+1)</f>
        <v>0</v>
      </c>
      <c r="D242" s="95">
        <f t="array" ref="D242">INDEX('Monthly Base'!$O$5:$O$67,A242+1)</f>
        <v>-20018</v>
      </c>
      <c r="E242" s="95">
        <f t="array" ref="E242">INDEX('Monthly Base'!$Y$5:$Y$67,A242+1)</f>
        <v>0</v>
      </c>
      <c r="F242" s="95">
        <f t="shared" ref="F242:F303" si="237">Z241</f>
        <v>48972.0014</v>
      </c>
      <c r="G242" s="8">
        <f t="shared" ref="G242:H242" si="227">W241</f>
        <v>240000</v>
      </c>
      <c r="H242" s="8">
        <f t="shared" si="227"/>
        <v>900000</v>
      </c>
      <c r="I242" s="8">
        <f>IF(OR(A242&lt;Inputs!$B$15,G242&lt;=0),0,MIN(Financing!$B$10,G242))</f>
        <v>0</v>
      </c>
      <c r="J242" s="8">
        <f>IF(OR(A242&lt;Inputs!$B$15,H242&lt;=0),0,H242*Inputs!$B$13/12)</f>
        <v>0</v>
      </c>
      <c r="K242" s="8">
        <f>IF(OR(A242&lt;Inputs!$B$15,H242&lt;=0),0,MIN(Financing!$C$10,H242+J242))</f>
        <v>0</v>
      </c>
      <c r="L242" s="8">
        <f t="shared" si="228"/>
        <v>0</v>
      </c>
      <c r="M242" s="8">
        <f t="shared" ref="M242:M303" si="239">S241</f>
        <v>20018</v>
      </c>
      <c r="N242" s="8">
        <f t="shared" ref="N242:N303" si="240">IF(B242="OPEN",IF(Y241=0,$E$7,IF(AND(C242&gt;0,C242&gt;=$E$5,$E$6&gt;0),$E$6,0)),0)</f>
        <v>0</v>
      </c>
      <c r="O242" s="8">
        <f t="shared" ref="O242:O303" si="241">IF(B242="OPEN",IF(Y241=0,$E$7,IF(AND(C242&gt;0,C242&gt;=$E$5,$E$6&gt;0),$E$6,0)),0)</f>
        <v>0</v>
      </c>
      <c r="P242" s="8">
        <f t="shared" si="229"/>
        <v>0</v>
      </c>
      <c r="Q242" s="95">
        <f>D242-J242-IF(C242=0,0,Inputs!$B$18)-P242</f>
        <v>-20018</v>
      </c>
      <c r="R242" s="8">
        <f>MAX(0,Q242-M242)*Inputs!$B$17</f>
        <v>0</v>
      </c>
      <c r="S242" s="8">
        <f t="shared" si="230"/>
        <v>40036</v>
      </c>
      <c r="T242" s="95">
        <f t="shared" si="231"/>
        <v>28954.0014</v>
      </c>
      <c r="U242" s="8">
        <f>IF(AND(Inputs!$B$79=1,B242="OPEN",A242&gt;=Inputs!$B$82,C242&gt;=$E$10,MOD(C242-$E$10,$E$9)=0),MIN(MAX(0,T242-$E$8)*Inputs!$B$81,MAX(0,H242+J242-K242)),0)</f>
        <v>0</v>
      </c>
      <c r="V242" s="8">
        <f>IF(AND(Inputs!$B$79=1,B242="OPEN",A242&gt;=Inputs!$B$82,C242&gt;=$E$10,MOD(C242-$E$10,$E$9)=0),MIN(MAX(0,MAX(0,T242-$E$8)*Inputs!$B$81-U242),MAX(0,G242-I242)),0)</f>
        <v>0</v>
      </c>
      <c r="W242" s="8">
        <f t="shared" si="232"/>
        <v>240000</v>
      </c>
      <c r="X242" s="8">
        <f t="shared" si="233"/>
        <v>900000</v>
      </c>
      <c r="Y242" s="8">
        <f t="shared" si="234"/>
        <v>1140000</v>
      </c>
      <c r="Z242" s="95">
        <f t="shared" si="235"/>
        <v>28954.0014</v>
      </c>
    </row>
    <row r="243">
      <c r="A243" s="8">
        <f t="shared" si="236"/>
        <v>2</v>
      </c>
      <c r="B243" s="96" t="str">
        <f t="array" ref="B243">INDEX('Monthly Base'!$B$5:$B$67,A243+1)</f>
        <v>BUILD</v>
      </c>
      <c r="C243" s="96">
        <f t="array" ref="C243">INDEX('Monthly Base'!$C$5:$C$67,A243+1)</f>
        <v>0</v>
      </c>
      <c r="D243" s="95">
        <f t="array" ref="D243">INDEX('Monthly Base'!$O$5:$O$67,A243+1)</f>
        <v>-20018</v>
      </c>
      <c r="E243" s="95">
        <f t="array" ref="E243">INDEX('Monthly Base'!$Y$5:$Y$67,A243+1)</f>
        <v>151933.7286</v>
      </c>
      <c r="F243" s="95">
        <f t="shared" si="237"/>
        <v>28954.0014</v>
      </c>
      <c r="G243" s="8">
        <f t="shared" ref="G243:H243" si="238">W242</f>
        <v>240000</v>
      </c>
      <c r="H243" s="8">
        <f t="shared" si="238"/>
        <v>900000</v>
      </c>
      <c r="I243" s="8">
        <f>IF(OR(A243&lt;Inputs!$B$15,G243&lt;=0),0,MIN(Financing!$B$10,G243))</f>
        <v>0</v>
      </c>
      <c r="J243" s="8">
        <f>IF(OR(A243&lt;Inputs!$B$15,H243&lt;=0),0,H243*Inputs!$B$13/12)</f>
        <v>0</v>
      </c>
      <c r="K243" s="8">
        <f>IF(OR(A243&lt;Inputs!$B$15,H243&lt;=0),0,MIN(Financing!$C$10,H243+J243))</f>
        <v>0</v>
      </c>
      <c r="L243" s="8">
        <f t="shared" si="228"/>
        <v>0</v>
      </c>
      <c r="M243" s="8">
        <f t="shared" si="239"/>
        <v>40036</v>
      </c>
      <c r="N243" s="8">
        <f t="shared" si="240"/>
        <v>0</v>
      </c>
      <c r="O243" s="8">
        <f t="shared" si="241"/>
        <v>0</v>
      </c>
      <c r="P243" s="8">
        <f t="shared" si="229"/>
        <v>0</v>
      </c>
      <c r="Q243" s="95">
        <f>D243-J243-IF(C243=0,0,Inputs!$B$18)-P243</f>
        <v>-20018</v>
      </c>
      <c r="R243" s="8">
        <f>MAX(0,Q243-M243)*Inputs!$B$17</f>
        <v>0</v>
      </c>
      <c r="S243" s="8">
        <f t="shared" si="230"/>
        <v>60054</v>
      </c>
      <c r="T243" s="95">
        <f t="shared" si="231"/>
        <v>160869.73</v>
      </c>
      <c r="U243" s="8">
        <f>IF(AND(Inputs!$B$79=1,B243="OPEN",A243&gt;=Inputs!$B$82,C243&gt;=$E$10,MOD(C243-$E$10,$E$9)=0),MIN(MAX(0,T243-$E$8)*Inputs!$B$81,MAX(0,H243+J243-K243)),0)</f>
        <v>0</v>
      </c>
      <c r="V243" s="8">
        <f>IF(AND(Inputs!$B$79=1,B243="OPEN",A243&gt;=Inputs!$B$82,C243&gt;=$E$10,MOD(C243-$E$10,$E$9)=0),MIN(MAX(0,MAX(0,T243-$E$8)*Inputs!$B$81-U243),MAX(0,G243-I243)),0)</f>
        <v>0</v>
      </c>
      <c r="W243" s="8">
        <f t="shared" si="232"/>
        <v>240000</v>
      </c>
      <c r="X243" s="8">
        <f t="shared" si="233"/>
        <v>900000</v>
      </c>
      <c r="Y243" s="8">
        <f t="shared" si="234"/>
        <v>1140000</v>
      </c>
      <c r="Z243" s="95">
        <f t="shared" si="235"/>
        <v>160869.73</v>
      </c>
    </row>
    <row r="244">
      <c r="A244" s="8">
        <f t="shared" si="236"/>
        <v>3</v>
      </c>
      <c r="B244" s="96" t="str">
        <f t="array" ref="B244">INDEX('Monthly Base'!$B$5:$B$67,A244+1)</f>
        <v>OPEN</v>
      </c>
      <c r="C244" s="96">
        <f t="array" ref="C244">INDEX('Monthly Base'!$C$5:$C$67,A244+1)</f>
        <v>1</v>
      </c>
      <c r="D244" s="95">
        <f t="array" ref="D244">INDEX('Monthly Base'!$O$5:$O$67,A244+1)</f>
        <v>-13932.15254</v>
      </c>
      <c r="E244" s="95">
        <f t="array" ref="E244">INDEX('Monthly Base'!$Y$5:$Y$67,A244+1)</f>
        <v>0</v>
      </c>
      <c r="F244" s="95">
        <f t="shared" si="237"/>
        <v>160869.73</v>
      </c>
      <c r="G244" s="8">
        <f t="shared" ref="G244:H244" si="242">W243</f>
        <v>240000</v>
      </c>
      <c r="H244" s="8">
        <f t="shared" si="242"/>
        <v>900000</v>
      </c>
      <c r="I244" s="8">
        <f>IF(OR(A244&lt;Inputs!$B$15,G244&lt;=0),0,MIN(Financing!$B$10,G244))</f>
        <v>0</v>
      </c>
      <c r="J244" s="8">
        <f>IF(OR(A244&lt;Inputs!$B$15,H244&lt;=0),0,H244*Inputs!$B$13/12)</f>
        <v>0</v>
      </c>
      <c r="K244" s="8">
        <f>IF(OR(A244&lt;Inputs!$B$15,H244&lt;=0),0,MIN(Financing!$C$10,H244+J244))</f>
        <v>0</v>
      </c>
      <c r="L244" s="8">
        <f t="shared" si="228"/>
        <v>0</v>
      </c>
      <c r="M244" s="8">
        <f t="shared" si="239"/>
        <v>60054</v>
      </c>
      <c r="N244" s="8">
        <f t="shared" si="240"/>
        <v>0</v>
      </c>
      <c r="O244" s="8">
        <f t="shared" si="241"/>
        <v>0</v>
      </c>
      <c r="P244" s="8">
        <f t="shared" si="229"/>
        <v>0</v>
      </c>
      <c r="Q244" s="95">
        <f>D244-J244-IF(C244=0,0,Inputs!$B$18)-P244</f>
        <v>-20745.15254</v>
      </c>
      <c r="R244" s="8">
        <f>MAX(0,Q244-M244)*Inputs!$B$17</f>
        <v>0</v>
      </c>
      <c r="S244" s="8">
        <f t="shared" si="230"/>
        <v>80799.15254</v>
      </c>
      <c r="T244" s="95">
        <f t="shared" si="231"/>
        <v>146937.5775</v>
      </c>
      <c r="U244" s="8">
        <f>IF(AND(Inputs!$B$79=1,B244="OPEN",A244&gt;=Inputs!$B$82,C244&gt;=$E$10,MOD(C244-$E$10,$E$9)=0),MIN(MAX(0,T244-$E$8)*Inputs!$B$81,MAX(0,H244+J244-K244)),0)</f>
        <v>0</v>
      </c>
      <c r="V244" s="8">
        <f>IF(AND(Inputs!$B$79=1,B244="OPEN",A244&gt;=Inputs!$B$82,C244&gt;=$E$10,MOD(C244-$E$10,$E$9)=0),MIN(MAX(0,MAX(0,T244-$E$8)*Inputs!$B$81-U244),MAX(0,G244-I244)),0)</f>
        <v>0</v>
      </c>
      <c r="W244" s="8">
        <f t="shared" si="232"/>
        <v>240000</v>
      </c>
      <c r="X244" s="8">
        <f t="shared" si="233"/>
        <v>900000</v>
      </c>
      <c r="Y244" s="8">
        <f t="shared" si="234"/>
        <v>1140000</v>
      </c>
      <c r="Z244" s="95">
        <f t="shared" si="235"/>
        <v>146937.5775</v>
      </c>
    </row>
    <row r="245">
      <c r="A245" s="8">
        <f t="shared" si="236"/>
        <v>4</v>
      </c>
      <c r="B245" s="96" t="str">
        <f t="array" ref="B245">INDEX('Monthly Base'!$B$5:$B$67,A245+1)</f>
        <v>OPEN</v>
      </c>
      <c r="C245" s="96">
        <f t="array" ref="C245">INDEX('Monthly Base'!$C$5:$C$67,A245+1)</f>
        <v>2</v>
      </c>
      <c r="D245" s="95">
        <f t="array" ref="D245">INDEX('Monthly Base'!$O$5:$O$67,A245+1)</f>
        <v>-10377.38136</v>
      </c>
      <c r="E245" s="95">
        <f t="array" ref="E245">INDEX('Monthly Base'!$Y$5:$Y$67,A245+1)</f>
        <v>0</v>
      </c>
      <c r="F245" s="95">
        <f t="shared" si="237"/>
        <v>146937.5775</v>
      </c>
      <c r="G245" s="8">
        <f t="shared" ref="G245:H245" si="243">W244</f>
        <v>240000</v>
      </c>
      <c r="H245" s="8">
        <f t="shared" si="243"/>
        <v>900000</v>
      </c>
      <c r="I245" s="8">
        <f>IF(OR(A245&lt;Inputs!$B$15,G245&lt;=0),0,MIN(Financing!$B$10,G245))</f>
        <v>0</v>
      </c>
      <c r="J245" s="8">
        <f>IF(OR(A245&lt;Inputs!$B$15,H245&lt;=0),0,H245*Inputs!$B$13/12)</f>
        <v>0</v>
      </c>
      <c r="K245" s="8">
        <f>IF(OR(A245&lt;Inputs!$B$15,H245&lt;=0),0,MIN(Financing!$C$10,H245+J245))</f>
        <v>0</v>
      </c>
      <c r="L245" s="8">
        <f t="shared" si="228"/>
        <v>0</v>
      </c>
      <c r="M245" s="8">
        <f t="shared" si="239"/>
        <v>80799.15254</v>
      </c>
      <c r="N245" s="8">
        <f t="shared" si="240"/>
        <v>0</v>
      </c>
      <c r="O245" s="8">
        <f t="shared" si="241"/>
        <v>0</v>
      </c>
      <c r="P245" s="8">
        <f t="shared" si="229"/>
        <v>0</v>
      </c>
      <c r="Q245" s="95">
        <f>D245-J245-IF(C245=0,0,Inputs!$B$18)-P245</f>
        <v>-17190.38136</v>
      </c>
      <c r="R245" s="8">
        <f>MAX(0,Q245-M245)*Inputs!$B$17</f>
        <v>0</v>
      </c>
      <c r="S245" s="8">
        <f t="shared" si="230"/>
        <v>97989.5339</v>
      </c>
      <c r="T245" s="95">
        <f t="shared" si="231"/>
        <v>136560.1961</v>
      </c>
      <c r="U245" s="8">
        <f>IF(AND(Inputs!$B$79=1,B245="OPEN",A245&gt;=Inputs!$B$82,C245&gt;=$E$10,MOD(C245-$E$10,$E$9)=0),MIN(MAX(0,T245-$E$8)*Inputs!$B$81,MAX(0,H245+J245-K245)),0)</f>
        <v>0</v>
      </c>
      <c r="V245" s="8">
        <f>IF(AND(Inputs!$B$79=1,B245="OPEN",A245&gt;=Inputs!$B$82,C245&gt;=$E$10,MOD(C245-$E$10,$E$9)=0),MIN(MAX(0,MAX(0,T245-$E$8)*Inputs!$B$81-U245),MAX(0,G245-I245)),0)</f>
        <v>0</v>
      </c>
      <c r="W245" s="8">
        <f t="shared" si="232"/>
        <v>240000</v>
      </c>
      <c r="X245" s="8">
        <f t="shared" si="233"/>
        <v>900000</v>
      </c>
      <c r="Y245" s="8">
        <f t="shared" si="234"/>
        <v>1140000</v>
      </c>
      <c r="Z245" s="95">
        <f t="shared" si="235"/>
        <v>136560.1961</v>
      </c>
    </row>
    <row r="246">
      <c r="A246" s="8">
        <f t="shared" si="236"/>
        <v>5</v>
      </c>
      <c r="B246" s="96" t="str">
        <f t="array" ref="B246">INDEX('Monthly Base'!$B$5:$B$67,A246+1)</f>
        <v>OPEN</v>
      </c>
      <c r="C246" s="96">
        <f t="array" ref="C246">INDEX('Monthly Base'!$C$5:$C$67,A246+1)</f>
        <v>3</v>
      </c>
      <c r="D246" s="95">
        <f t="array" ref="D246">INDEX('Monthly Base'!$O$5:$O$67,A246+1)</f>
        <v>-6635.516949</v>
      </c>
      <c r="E246" s="95">
        <f t="array" ref="E246">INDEX('Monthly Base'!$Y$5:$Y$67,A246+1)</f>
        <v>0</v>
      </c>
      <c r="F246" s="95">
        <f t="shared" si="237"/>
        <v>136560.1961</v>
      </c>
      <c r="G246" s="8">
        <f t="shared" ref="G246:H246" si="244">W245</f>
        <v>240000</v>
      </c>
      <c r="H246" s="8">
        <f t="shared" si="244"/>
        <v>900000</v>
      </c>
      <c r="I246" s="8">
        <f>IF(OR(A246&lt;Inputs!$B$15,G246&lt;=0),0,MIN(Financing!$B$10,G246))</f>
        <v>0</v>
      </c>
      <c r="J246" s="8">
        <f>IF(OR(A246&lt;Inputs!$B$15,H246&lt;=0),0,H246*Inputs!$B$13/12)</f>
        <v>0</v>
      </c>
      <c r="K246" s="8">
        <f>IF(OR(A246&lt;Inputs!$B$15,H246&lt;=0),0,MIN(Financing!$C$10,H246+J246))</f>
        <v>0</v>
      </c>
      <c r="L246" s="8">
        <f t="shared" si="228"/>
        <v>0</v>
      </c>
      <c r="M246" s="8">
        <f t="shared" si="239"/>
        <v>97989.5339</v>
      </c>
      <c r="N246" s="8">
        <f t="shared" si="240"/>
        <v>0</v>
      </c>
      <c r="O246" s="8">
        <f t="shared" si="241"/>
        <v>0</v>
      </c>
      <c r="P246" s="8">
        <f t="shared" si="229"/>
        <v>0</v>
      </c>
      <c r="Q246" s="95">
        <f>D246-J246-IF(C246=0,0,Inputs!$B$18)-P246</f>
        <v>-13448.51695</v>
      </c>
      <c r="R246" s="8">
        <f>MAX(0,Q246-M246)*Inputs!$B$17</f>
        <v>0</v>
      </c>
      <c r="S246" s="8">
        <f t="shared" si="230"/>
        <v>111438.0508</v>
      </c>
      <c r="T246" s="95">
        <f t="shared" si="231"/>
        <v>129924.6792</v>
      </c>
      <c r="U246" s="8">
        <f>IF(AND(Inputs!$B$79=1,B246="OPEN",A246&gt;=Inputs!$B$82,C246&gt;=$E$10,MOD(C246-$E$10,$E$9)=0),MIN(MAX(0,T246-$E$8)*Inputs!$B$81,MAX(0,H246+J246-K246)),0)</f>
        <v>0</v>
      </c>
      <c r="V246" s="8">
        <f>IF(AND(Inputs!$B$79=1,B246="OPEN",A246&gt;=Inputs!$B$82,C246&gt;=$E$10,MOD(C246-$E$10,$E$9)=0),MIN(MAX(0,MAX(0,T246-$E$8)*Inputs!$B$81-U246),MAX(0,G246-I246)),0)</f>
        <v>0</v>
      </c>
      <c r="W246" s="8">
        <f t="shared" si="232"/>
        <v>240000</v>
      </c>
      <c r="X246" s="8">
        <f t="shared" si="233"/>
        <v>900000</v>
      </c>
      <c r="Y246" s="8">
        <f t="shared" si="234"/>
        <v>1140000</v>
      </c>
      <c r="Z246" s="95">
        <f t="shared" si="235"/>
        <v>129924.6792</v>
      </c>
    </row>
    <row r="247">
      <c r="A247" s="8">
        <f t="shared" si="236"/>
        <v>6</v>
      </c>
      <c r="B247" s="96" t="str">
        <f t="array" ref="B247">INDEX('Monthly Base'!$B$5:$B$67,A247+1)</f>
        <v>OPEN</v>
      </c>
      <c r="C247" s="96">
        <f t="array" ref="C247">INDEX('Monthly Base'!$C$5:$C$67,A247+1)</f>
        <v>4</v>
      </c>
      <c r="D247" s="95">
        <f t="array" ref="D247">INDEX('Monthly Base'!$O$5:$O$67,A247+1)</f>
        <v>-3080.745763</v>
      </c>
      <c r="E247" s="95">
        <f t="array" ref="E247">INDEX('Monthly Base'!$Y$5:$Y$67,A247+1)</f>
        <v>0</v>
      </c>
      <c r="F247" s="95">
        <f t="shared" si="237"/>
        <v>129924.6792</v>
      </c>
      <c r="G247" s="8">
        <f t="shared" ref="G247:H247" si="245">W246</f>
        <v>240000</v>
      </c>
      <c r="H247" s="8">
        <f t="shared" si="245"/>
        <v>900000</v>
      </c>
      <c r="I247" s="8">
        <f>IF(OR(A247&lt;Inputs!$B$15,G247&lt;=0),0,MIN(Financing!$B$10,G247))</f>
        <v>0</v>
      </c>
      <c r="J247" s="8">
        <f>IF(OR(A247&lt;Inputs!$B$15,H247&lt;=0),0,H247*Inputs!$B$13/12)</f>
        <v>0</v>
      </c>
      <c r="K247" s="8">
        <f>IF(OR(A247&lt;Inputs!$B$15,H247&lt;=0),0,MIN(Financing!$C$10,H247+J247))</f>
        <v>0</v>
      </c>
      <c r="L247" s="8">
        <f t="shared" si="228"/>
        <v>0</v>
      </c>
      <c r="M247" s="8">
        <f t="shared" si="239"/>
        <v>111438.0508</v>
      </c>
      <c r="N247" s="8">
        <f t="shared" si="240"/>
        <v>0</v>
      </c>
      <c r="O247" s="8">
        <f t="shared" si="241"/>
        <v>0</v>
      </c>
      <c r="P247" s="8">
        <f t="shared" si="229"/>
        <v>0</v>
      </c>
      <c r="Q247" s="95">
        <f>D247-J247-IF(C247=0,0,Inputs!$B$18)-P247</f>
        <v>-9893.745763</v>
      </c>
      <c r="R247" s="8">
        <f>MAX(0,Q247-M247)*Inputs!$B$17</f>
        <v>0</v>
      </c>
      <c r="S247" s="8">
        <f t="shared" si="230"/>
        <v>121331.7966</v>
      </c>
      <c r="T247" s="95">
        <f t="shared" si="231"/>
        <v>126843.9334</v>
      </c>
      <c r="U247" s="8">
        <f>IF(AND(Inputs!$B$79=1,B247="OPEN",A247&gt;=Inputs!$B$82,C247&gt;=$E$10,MOD(C247-$E$10,$E$9)=0),MIN(MAX(0,T247-$E$8)*Inputs!$B$81,MAX(0,H247+J247-K247)),0)</f>
        <v>0</v>
      </c>
      <c r="V247" s="8">
        <f>IF(AND(Inputs!$B$79=1,B247="OPEN",A247&gt;=Inputs!$B$82,C247&gt;=$E$10,MOD(C247-$E$10,$E$9)=0),MIN(MAX(0,MAX(0,T247-$E$8)*Inputs!$B$81-U247),MAX(0,G247-I247)),0)</f>
        <v>0</v>
      </c>
      <c r="W247" s="8">
        <f t="shared" si="232"/>
        <v>240000</v>
      </c>
      <c r="X247" s="8">
        <f t="shared" si="233"/>
        <v>900000</v>
      </c>
      <c r="Y247" s="8">
        <f t="shared" si="234"/>
        <v>1140000</v>
      </c>
      <c r="Z247" s="95">
        <f t="shared" si="235"/>
        <v>126843.9334</v>
      </c>
    </row>
    <row r="248">
      <c r="A248" s="8">
        <f t="shared" si="236"/>
        <v>7</v>
      </c>
      <c r="B248" s="96" t="str">
        <f t="array" ref="B248">INDEX('Monthly Base'!$B$5:$B$67,A248+1)</f>
        <v>OPEN</v>
      </c>
      <c r="C248" s="96">
        <f t="array" ref="C248">INDEX('Monthly Base'!$C$5:$C$67,A248+1)</f>
        <v>5</v>
      </c>
      <c r="D248" s="95">
        <f t="array" ref="D248">INDEX('Monthly Base'!$O$5:$O$67,A248+1)</f>
        <v>474.0254237</v>
      </c>
      <c r="E248" s="95">
        <f t="array" ref="E248">INDEX('Monthly Base'!$Y$5:$Y$67,A248+1)</f>
        <v>0</v>
      </c>
      <c r="F248" s="95">
        <f t="shared" si="237"/>
        <v>126843.9334</v>
      </c>
      <c r="G248" s="8">
        <f t="shared" ref="G248:H248" si="246">W247</f>
        <v>240000</v>
      </c>
      <c r="H248" s="8">
        <f t="shared" si="246"/>
        <v>900000</v>
      </c>
      <c r="I248" s="8">
        <f>IF(OR(A248&lt;Inputs!$B$15,G248&lt;=0),0,MIN(Financing!$B$10,G248))</f>
        <v>0</v>
      </c>
      <c r="J248" s="8">
        <f>IF(OR(A248&lt;Inputs!$B$15,H248&lt;=0),0,H248*Inputs!$B$13/12)</f>
        <v>0</v>
      </c>
      <c r="K248" s="8">
        <f>IF(OR(A248&lt;Inputs!$B$15,H248&lt;=0),0,MIN(Financing!$C$10,H248+J248))</f>
        <v>0</v>
      </c>
      <c r="L248" s="8">
        <f t="shared" si="228"/>
        <v>0</v>
      </c>
      <c r="M248" s="8">
        <f t="shared" si="239"/>
        <v>121331.7966</v>
      </c>
      <c r="N248" s="8">
        <f t="shared" si="240"/>
        <v>0</v>
      </c>
      <c r="O248" s="8">
        <f t="shared" si="241"/>
        <v>0</v>
      </c>
      <c r="P248" s="8">
        <f t="shared" si="229"/>
        <v>0</v>
      </c>
      <c r="Q248" s="95">
        <f>D248-J248-IF(C248=0,0,Inputs!$B$18)-P248</f>
        <v>-6338.974576</v>
      </c>
      <c r="R248" s="8">
        <f>MAX(0,Q248-M248)*Inputs!$B$17</f>
        <v>0</v>
      </c>
      <c r="S248" s="8">
        <f t="shared" si="230"/>
        <v>127670.7712</v>
      </c>
      <c r="T248" s="95">
        <f t="shared" si="231"/>
        <v>127317.9588</v>
      </c>
      <c r="U248" s="8">
        <f>IF(AND(Inputs!$B$79=1,B248="OPEN",A248&gt;=Inputs!$B$82,C248&gt;=$E$10,MOD(C248-$E$10,$E$9)=0),MIN(MAX(0,T248-$E$8)*Inputs!$B$81,MAX(0,H248+J248-K248)),0)</f>
        <v>0</v>
      </c>
      <c r="V248" s="8">
        <f>IF(AND(Inputs!$B$79=1,B248="OPEN",A248&gt;=Inputs!$B$82,C248&gt;=$E$10,MOD(C248-$E$10,$E$9)=0),MIN(MAX(0,MAX(0,T248-$E$8)*Inputs!$B$81-U248),MAX(0,G248-I248)),0)</f>
        <v>0</v>
      </c>
      <c r="W248" s="8">
        <f t="shared" si="232"/>
        <v>240000</v>
      </c>
      <c r="X248" s="8">
        <f t="shared" si="233"/>
        <v>900000</v>
      </c>
      <c r="Y248" s="8">
        <f t="shared" si="234"/>
        <v>1140000</v>
      </c>
      <c r="Z248" s="95">
        <f t="shared" si="235"/>
        <v>127317.9588</v>
      </c>
    </row>
    <row r="249">
      <c r="A249" s="8">
        <f t="shared" si="236"/>
        <v>8</v>
      </c>
      <c r="B249" s="96" t="str">
        <f t="array" ref="B249">INDEX('Monthly Base'!$B$5:$B$67,A249+1)</f>
        <v>OPEN</v>
      </c>
      <c r="C249" s="96">
        <f t="array" ref="C249">INDEX('Monthly Base'!$C$5:$C$67,A249+1)</f>
        <v>6</v>
      </c>
      <c r="D249" s="95">
        <f t="array" ref="D249">INDEX('Monthly Base'!$O$5:$O$67,A249+1)</f>
        <v>4028.79661</v>
      </c>
      <c r="E249" s="95">
        <f t="array" ref="E249">INDEX('Monthly Base'!$Y$5:$Y$67,A249+1)</f>
        <v>0</v>
      </c>
      <c r="F249" s="95">
        <f t="shared" si="237"/>
        <v>127317.9588</v>
      </c>
      <c r="G249" s="8">
        <f t="shared" ref="G249:H249" si="247">W248</f>
        <v>240000</v>
      </c>
      <c r="H249" s="8">
        <f t="shared" si="247"/>
        <v>900000</v>
      </c>
      <c r="I249" s="8">
        <f>IF(OR(A249&lt;Inputs!$B$15,G249&lt;=0),0,MIN(Financing!$B$10,G249))</f>
        <v>0</v>
      </c>
      <c r="J249" s="8">
        <f>IF(OR(A249&lt;Inputs!$B$15,H249&lt;=0),0,H249*Inputs!$B$13/12)</f>
        <v>0</v>
      </c>
      <c r="K249" s="8">
        <f>IF(OR(A249&lt;Inputs!$B$15,H249&lt;=0),0,MIN(Financing!$C$10,H249+J249))</f>
        <v>0</v>
      </c>
      <c r="L249" s="8">
        <f t="shared" si="228"/>
        <v>0</v>
      </c>
      <c r="M249" s="8">
        <f t="shared" si="239"/>
        <v>127670.7712</v>
      </c>
      <c r="N249" s="8">
        <f t="shared" si="240"/>
        <v>0</v>
      </c>
      <c r="O249" s="8">
        <f t="shared" si="241"/>
        <v>0</v>
      </c>
      <c r="P249" s="8">
        <f t="shared" si="229"/>
        <v>0</v>
      </c>
      <c r="Q249" s="95">
        <f>D249-J249-IF(C249=0,0,Inputs!$B$18)-P249</f>
        <v>-2784.20339</v>
      </c>
      <c r="R249" s="8">
        <f>MAX(0,Q249-M249)*Inputs!$B$17</f>
        <v>0</v>
      </c>
      <c r="S249" s="8">
        <f t="shared" si="230"/>
        <v>130454.9746</v>
      </c>
      <c r="T249" s="95">
        <f t="shared" si="231"/>
        <v>131346.7554</v>
      </c>
      <c r="U249" s="8">
        <f>IF(AND(Inputs!$B$79=1,B249="OPEN",A249&gt;=Inputs!$B$82,C249&gt;=$E$10,MOD(C249-$E$10,$E$9)=0),MIN(MAX(0,T249-$E$8)*Inputs!$B$81,MAX(0,H249+J249-K249)),0)</f>
        <v>0</v>
      </c>
      <c r="V249" s="8">
        <f>IF(AND(Inputs!$B$79=1,B249="OPEN",A249&gt;=Inputs!$B$82,C249&gt;=$E$10,MOD(C249-$E$10,$E$9)=0),MIN(MAX(0,MAX(0,T249-$E$8)*Inputs!$B$81-U249),MAX(0,G249-I249)),0)</f>
        <v>0</v>
      </c>
      <c r="W249" s="8">
        <f t="shared" si="232"/>
        <v>240000</v>
      </c>
      <c r="X249" s="8">
        <f t="shared" si="233"/>
        <v>900000</v>
      </c>
      <c r="Y249" s="8">
        <f t="shared" si="234"/>
        <v>1140000</v>
      </c>
      <c r="Z249" s="95">
        <f t="shared" si="235"/>
        <v>131346.7554</v>
      </c>
    </row>
    <row r="250">
      <c r="A250" s="8">
        <f t="shared" si="236"/>
        <v>9</v>
      </c>
      <c r="B250" s="96" t="str">
        <f t="array" ref="B250">INDEX('Monthly Base'!$B$5:$B$67,A250+1)</f>
        <v>OPEN</v>
      </c>
      <c r="C250" s="96">
        <f t="array" ref="C250">INDEX('Monthly Base'!$C$5:$C$67,A250+1)</f>
        <v>7</v>
      </c>
      <c r="D250" s="95">
        <f t="array" ref="D250">INDEX('Monthly Base'!$O$5:$O$67,A250+1)</f>
        <v>7770.661017</v>
      </c>
      <c r="E250" s="95">
        <f t="array" ref="E250">INDEX('Monthly Base'!$Y$5:$Y$67,A250+1)</f>
        <v>0</v>
      </c>
      <c r="F250" s="95">
        <f t="shared" si="237"/>
        <v>131346.7554</v>
      </c>
      <c r="G250" s="8">
        <f t="shared" ref="G250:H250" si="248">W249</f>
        <v>240000</v>
      </c>
      <c r="H250" s="8">
        <f t="shared" si="248"/>
        <v>900000</v>
      </c>
      <c r="I250" s="8">
        <f>IF(OR(A250&lt;Inputs!$B$15,G250&lt;=0),0,MIN(Financing!$B$10,G250))</f>
        <v>0</v>
      </c>
      <c r="J250" s="8">
        <f>IF(OR(A250&lt;Inputs!$B$15,H250&lt;=0),0,H250*Inputs!$B$13/12)</f>
        <v>0</v>
      </c>
      <c r="K250" s="8">
        <f>IF(OR(A250&lt;Inputs!$B$15,H250&lt;=0),0,MIN(Financing!$C$10,H250+J250))</f>
        <v>0</v>
      </c>
      <c r="L250" s="8">
        <f t="shared" si="228"/>
        <v>0</v>
      </c>
      <c r="M250" s="8">
        <f t="shared" si="239"/>
        <v>130454.9746</v>
      </c>
      <c r="N250" s="8">
        <f t="shared" si="240"/>
        <v>5000</v>
      </c>
      <c r="O250" s="8">
        <f t="shared" si="241"/>
        <v>5000</v>
      </c>
      <c r="P250" s="8">
        <f t="shared" si="229"/>
        <v>12000</v>
      </c>
      <c r="Q250" s="95">
        <f>D250-J250-IF(C250=0,0,Inputs!$B$18)-P250</f>
        <v>-11042.33898</v>
      </c>
      <c r="R250" s="8">
        <f>MAX(0,Q250-M250)*Inputs!$B$17</f>
        <v>0</v>
      </c>
      <c r="S250" s="8">
        <f t="shared" si="230"/>
        <v>141497.3136</v>
      </c>
      <c r="T250" s="95">
        <f t="shared" si="231"/>
        <v>127117.4164</v>
      </c>
      <c r="U250" s="8">
        <f>IF(AND(Inputs!$B$79=1,B250="OPEN",A250&gt;=Inputs!$B$82,C250&gt;=$E$10,MOD(C250-$E$10,$E$9)=0),MIN(MAX(0,T250-$E$8)*Inputs!$B$81,MAX(0,H250+J250-K250)),0)</f>
        <v>0</v>
      </c>
      <c r="V250" s="8">
        <f>IF(AND(Inputs!$B$79=1,B250="OPEN",A250&gt;=Inputs!$B$82,C250&gt;=$E$10,MOD(C250-$E$10,$E$9)=0),MIN(MAX(0,MAX(0,T250-$E$8)*Inputs!$B$81-U250),MAX(0,G250-I250)),0)</f>
        <v>0</v>
      </c>
      <c r="W250" s="8">
        <f t="shared" si="232"/>
        <v>240000</v>
      </c>
      <c r="X250" s="8">
        <f t="shared" si="233"/>
        <v>900000</v>
      </c>
      <c r="Y250" s="8">
        <f t="shared" si="234"/>
        <v>1140000</v>
      </c>
      <c r="Z250" s="95">
        <f t="shared" si="235"/>
        <v>127117.4164</v>
      </c>
    </row>
    <row r="251">
      <c r="A251" s="8">
        <f t="shared" si="236"/>
        <v>10</v>
      </c>
      <c r="B251" s="96" t="str">
        <f t="array" ref="B251">INDEX('Monthly Base'!$B$5:$B$67,A251+1)</f>
        <v>OPEN</v>
      </c>
      <c r="C251" s="96">
        <f t="array" ref="C251">INDEX('Monthly Base'!$C$5:$C$67,A251+1)</f>
        <v>8</v>
      </c>
      <c r="D251" s="95">
        <f t="array" ref="D251">INDEX('Monthly Base'!$O$5:$O$67,A251+1)</f>
        <v>11325.4322</v>
      </c>
      <c r="E251" s="95">
        <f t="array" ref="E251">INDEX('Monthly Base'!$Y$5:$Y$67,A251+1)</f>
        <v>0</v>
      </c>
      <c r="F251" s="95">
        <f t="shared" si="237"/>
        <v>127117.4164</v>
      </c>
      <c r="G251" s="8">
        <f t="shared" ref="G251:H251" si="249">W250</f>
        <v>240000</v>
      </c>
      <c r="H251" s="8">
        <f t="shared" si="249"/>
        <v>900000</v>
      </c>
      <c r="I251" s="8">
        <f>IF(OR(A251&lt;Inputs!$B$15,G251&lt;=0),0,MIN(Financing!$B$10,G251))</f>
        <v>0</v>
      </c>
      <c r="J251" s="8">
        <f>IF(OR(A251&lt;Inputs!$B$15,H251&lt;=0),0,H251*Inputs!$B$13/12)</f>
        <v>0</v>
      </c>
      <c r="K251" s="8">
        <f>IF(OR(A251&lt;Inputs!$B$15,H251&lt;=0),0,MIN(Financing!$C$10,H251+J251))</f>
        <v>0</v>
      </c>
      <c r="L251" s="8">
        <f t="shared" si="228"/>
        <v>0</v>
      </c>
      <c r="M251" s="8">
        <f t="shared" si="239"/>
        <v>141497.3136</v>
      </c>
      <c r="N251" s="8">
        <f t="shared" si="240"/>
        <v>5000</v>
      </c>
      <c r="O251" s="8">
        <f t="shared" si="241"/>
        <v>5000</v>
      </c>
      <c r="P251" s="8">
        <f t="shared" si="229"/>
        <v>12000</v>
      </c>
      <c r="Q251" s="95">
        <f>D251-J251-IF(C251=0,0,Inputs!$B$18)-P251</f>
        <v>-7487.567797</v>
      </c>
      <c r="R251" s="8">
        <f>MAX(0,Q251-M251)*Inputs!$B$17</f>
        <v>0</v>
      </c>
      <c r="S251" s="8">
        <f t="shared" si="230"/>
        <v>148984.8814</v>
      </c>
      <c r="T251" s="95">
        <f t="shared" si="231"/>
        <v>126442.8486</v>
      </c>
      <c r="U251" s="8">
        <f>IF(AND(Inputs!$B$79=1,B251="OPEN",A251&gt;=Inputs!$B$82,C251&gt;=$E$10,MOD(C251-$E$10,$E$9)=0),MIN(MAX(0,T251-$E$8)*Inputs!$B$81,MAX(0,H251+J251-K251)),0)</f>
        <v>0</v>
      </c>
      <c r="V251" s="8">
        <f>IF(AND(Inputs!$B$79=1,B251="OPEN",A251&gt;=Inputs!$B$82,C251&gt;=$E$10,MOD(C251-$E$10,$E$9)=0),MIN(MAX(0,MAX(0,T251-$E$8)*Inputs!$B$81-U251),MAX(0,G251-I251)),0)</f>
        <v>0</v>
      </c>
      <c r="W251" s="8">
        <f t="shared" si="232"/>
        <v>240000</v>
      </c>
      <c r="X251" s="8">
        <f t="shared" si="233"/>
        <v>900000</v>
      </c>
      <c r="Y251" s="8">
        <f t="shared" si="234"/>
        <v>1140000</v>
      </c>
      <c r="Z251" s="95">
        <f t="shared" si="235"/>
        <v>126442.8486</v>
      </c>
    </row>
    <row r="252">
      <c r="A252" s="8">
        <f t="shared" si="236"/>
        <v>11</v>
      </c>
      <c r="B252" s="96" t="str">
        <f t="array" ref="B252">INDEX('Monthly Base'!$B$5:$B$67,A252+1)</f>
        <v>OPEN</v>
      </c>
      <c r="C252" s="96">
        <f t="array" ref="C252">INDEX('Monthly Base'!$C$5:$C$67,A252+1)</f>
        <v>9</v>
      </c>
      <c r="D252" s="95">
        <f t="array" ref="D252">INDEX('Monthly Base'!$O$5:$O$67,A252+1)</f>
        <v>14880.20339</v>
      </c>
      <c r="E252" s="95">
        <f t="array" ref="E252">INDEX('Monthly Base'!$Y$5:$Y$67,A252+1)</f>
        <v>0</v>
      </c>
      <c r="F252" s="95">
        <f t="shared" si="237"/>
        <v>126442.8486</v>
      </c>
      <c r="G252" s="8">
        <f t="shared" ref="G252:H252" si="250">W251</f>
        <v>240000</v>
      </c>
      <c r="H252" s="8">
        <f t="shared" si="250"/>
        <v>900000</v>
      </c>
      <c r="I252" s="8">
        <f>IF(OR(A252&lt;Inputs!$B$15,G252&lt;=0),0,MIN(Financing!$B$10,G252))</f>
        <v>0</v>
      </c>
      <c r="J252" s="8">
        <f>IF(OR(A252&lt;Inputs!$B$15,H252&lt;=0),0,H252*Inputs!$B$13/12)</f>
        <v>0</v>
      </c>
      <c r="K252" s="8">
        <f>IF(OR(A252&lt;Inputs!$B$15,H252&lt;=0),0,MIN(Financing!$C$10,H252+J252))</f>
        <v>0</v>
      </c>
      <c r="L252" s="8">
        <f t="shared" si="228"/>
        <v>0</v>
      </c>
      <c r="M252" s="8">
        <f t="shared" si="239"/>
        <v>148984.8814</v>
      </c>
      <c r="N252" s="8">
        <f t="shared" si="240"/>
        <v>5000</v>
      </c>
      <c r="O252" s="8">
        <f t="shared" si="241"/>
        <v>5000</v>
      </c>
      <c r="P252" s="8">
        <f t="shared" si="229"/>
        <v>12000</v>
      </c>
      <c r="Q252" s="95">
        <f>D252-J252-IF(C252=0,0,Inputs!$B$18)-P252</f>
        <v>-3932.79661</v>
      </c>
      <c r="R252" s="8">
        <f>MAX(0,Q252-M252)*Inputs!$B$17</f>
        <v>0</v>
      </c>
      <c r="S252" s="8">
        <f t="shared" si="230"/>
        <v>152917.678</v>
      </c>
      <c r="T252" s="95">
        <f t="shared" si="231"/>
        <v>129323.052</v>
      </c>
      <c r="U252" s="8">
        <f>IF(AND(Inputs!$B$79=1,B252="OPEN",A252&gt;=Inputs!$B$82,C252&gt;=$E$10,MOD(C252-$E$10,$E$9)=0),MIN(MAX(0,T252-$E$8)*Inputs!$B$81,MAX(0,H252+J252-K252)),0)</f>
        <v>0</v>
      </c>
      <c r="V252" s="8">
        <f>IF(AND(Inputs!$B$79=1,B252="OPEN",A252&gt;=Inputs!$B$82,C252&gt;=$E$10,MOD(C252-$E$10,$E$9)=0),MIN(MAX(0,MAX(0,T252-$E$8)*Inputs!$B$81-U252),MAX(0,G252-I252)),0)</f>
        <v>0</v>
      </c>
      <c r="W252" s="8">
        <f t="shared" si="232"/>
        <v>240000</v>
      </c>
      <c r="X252" s="8">
        <f t="shared" si="233"/>
        <v>900000</v>
      </c>
      <c r="Y252" s="8">
        <f t="shared" si="234"/>
        <v>1140000</v>
      </c>
      <c r="Z252" s="95">
        <f t="shared" si="235"/>
        <v>129323.052</v>
      </c>
    </row>
    <row r="253">
      <c r="A253" s="8">
        <f t="shared" si="236"/>
        <v>12</v>
      </c>
      <c r="B253" s="96" t="str">
        <f t="array" ref="B253">INDEX('Monthly Base'!$B$5:$B$67,A253+1)</f>
        <v>OPEN</v>
      </c>
      <c r="C253" s="96">
        <f t="array" ref="C253">INDEX('Monthly Base'!$C$5:$C$67,A253+1)</f>
        <v>10</v>
      </c>
      <c r="D253" s="95">
        <f t="array" ref="D253">INDEX('Monthly Base'!$O$5:$O$67,A253+1)</f>
        <v>18434.97458</v>
      </c>
      <c r="E253" s="95">
        <f t="array" ref="E253">INDEX('Monthly Base'!$Y$5:$Y$67,A253+1)</f>
        <v>0</v>
      </c>
      <c r="F253" s="95">
        <f t="shared" si="237"/>
        <v>129323.052</v>
      </c>
      <c r="G253" s="8">
        <f t="shared" ref="G253:H253" si="251">W252</f>
        <v>240000</v>
      </c>
      <c r="H253" s="8">
        <f t="shared" si="251"/>
        <v>900000</v>
      </c>
      <c r="I253" s="95">
        <f>IF(OR(A253&lt;Inputs!$B$15,G253&lt;=0),0,MIN(Financing!$B$10,G253))</f>
        <v>4000</v>
      </c>
      <c r="J253" s="8">
        <f>IF(OR(A253&lt;Inputs!$B$15,H253&lt;=0),0,H253*Inputs!$B$13/12)</f>
        <v>3562.5</v>
      </c>
      <c r="K253" s="95">
        <f>IF(OR(A253&lt;Inputs!$B$15,H253&lt;=0),0,MIN(Financing!$C$10,H253+J253))</f>
        <v>16881.22078</v>
      </c>
      <c r="L253" s="95">
        <f t="shared" si="228"/>
        <v>20881.22078</v>
      </c>
      <c r="M253" s="8">
        <f t="shared" si="239"/>
        <v>152917.678</v>
      </c>
      <c r="N253" s="8">
        <f t="shared" si="240"/>
        <v>5000</v>
      </c>
      <c r="O253" s="8">
        <f t="shared" si="241"/>
        <v>5000</v>
      </c>
      <c r="P253" s="8">
        <f t="shared" si="229"/>
        <v>12000</v>
      </c>
      <c r="Q253" s="95">
        <f>D253-J253-IF(C253=0,0,Inputs!$B$18)-P253</f>
        <v>-3940.525424</v>
      </c>
      <c r="R253" s="8">
        <f>MAX(0,Q253-M253)*Inputs!$B$17</f>
        <v>0</v>
      </c>
      <c r="S253" s="8">
        <f t="shared" si="230"/>
        <v>156858.2034</v>
      </c>
      <c r="T253" s="95">
        <f t="shared" si="231"/>
        <v>114876.8058</v>
      </c>
      <c r="U253" s="8">
        <f>IF(AND(Inputs!$B$79=1,B253="OPEN",A253&gt;=Inputs!$B$82,C253&gt;=$E$10,MOD(C253-$E$10,$E$9)=0),MIN(MAX(0,T253-$E$8)*Inputs!$B$81,MAX(0,H253+J253-K253)),0)</f>
        <v>0</v>
      </c>
      <c r="V253" s="8">
        <f>IF(AND(Inputs!$B$79=1,B253="OPEN",A253&gt;=Inputs!$B$82,C253&gt;=$E$10,MOD(C253-$E$10,$E$9)=0),MIN(MAX(0,MAX(0,T253-$E$8)*Inputs!$B$81-U253),MAX(0,G253-I253)),0)</f>
        <v>0</v>
      </c>
      <c r="W253" s="8">
        <f t="shared" si="232"/>
        <v>236000</v>
      </c>
      <c r="X253" s="8">
        <f t="shared" si="233"/>
        <v>886681.2792</v>
      </c>
      <c r="Y253" s="8">
        <f t="shared" si="234"/>
        <v>1122681.279</v>
      </c>
      <c r="Z253" s="95">
        <f t="shared" si="235"/>
        <v>114876.8058</v>
      </c>
    </row>
    <row r="254">
      <c r="A254" s="8">
        <f t="shared" si="236"/>
        <v>13</v>
      </c>
      <c r="B254" s="96" t="str">
        <f t="array" ref="B254">INDEX('Monthly Base'!$B$5:$B$67,A254+1)</f>
        <v>OPEN</v>
      </c>
      <c r="C254" s="96">
        <f t="array" ref="C254">INDEX('Monthly Base'!$C$5:$C$67,A254+1)</f>
        <v>11</v>
      </c>
      <c r="D254" s="95">
        <f t="array" ref="D254">INDEX('Monthly Base'!$O$5:$O$67,A254+1)</f>
        <v>22176.83898</v>
      </c>
      <c r="E254" s="95">
        <f t="array" ref="E254">INDEX('Monthly Base'!$Y$5:$Y$67,A254+1)</f>
        <v>0</v>
      </c>
      <c r="F254" s="95">
        <f t="shared" si="237"/>
        <v>114876.8058</v>
      </c>
      <c r="G254" s="8">
        <f t="shared" ref="G254:H254" si="252">W253</f>
        <v>236000</v>
      </c>
      <c r="H254" s="8">
        <f t="shared" si="252"/>
        <v>886681.2792</v>
      </c>
      <c r="I254" s="95">
        <f>IF(OR(A254&lt;Inputs!$B$15,G254&lt;=0),0,MIN(Financing!$B$10,G254))</f>
        <v>4000</v>
      </c>
      <c r="J254" s="8">
        <f>IF(OR(A254&lt;Inputs!$B$15,H254&lt;=0),0,H254*Inputs!$B$13/12)</f>
        <v>3509.780064</v>
      </c>
      <c r="K254" s="95">
        <f>IF(OR(A254&lt;Inputs!$B$15,H254&lt;=0),0,MIN(Financing!$C$10,H254+J254))</f>
        <v>16881.22078</v>
      </c>
      <c r="L254" s="95">
        <f t="shared" si="228"/>
        <v>20881.22078</v>
      </c>
      <c r="M254" s="8">
        <f t="shared" si="239"/>
        <v>156858.2034</v>
      </c>
      <c r="N254" s="8">
        <f t="shared" si="240"/>
        <v>5000</v>
      </c>
      <c r="O254" s="8">
        <f t="shared" si="241"/>
        <v>5000</v>
      </c>
      <c r="P254" s="8">
        <f t="shared" si="229"/>
        <v>12000</v>
      </c>
      <c r="Q254" s="95">
        <f>D254-J254-IF(C254=0,0,Inputs!$B$18)-P254</f>
        <v>-145.9410805</v>
      </c>
      <c r="R254" s="8">
        <f>MAX(0,Q254-M254)*Inputs!$B$17</f>
        <v>0</v>
      </c>
      <c r="S254" s="8">
        <f t="shared" si="230"/>
        <v>157004.1445</v>
      </c>
      <c r="T254" s="95">
        <f t="shared" si="231"/>
        <v>104172.424</v>
      </c>
      <c r="U254" s="8">
        <f>IF(AND(Inputs!$B$79=1,B254="OPEN",A254&gt;=Inputs!$B$82,C254&gt;=$E$10,MOD(C254-$E$10,$E$9)=0),MIN(MAX(0,T254-$E$8)*Inputs!$B$81,MAX(0,H254+J254-K254)),0)</f>
        <v>0</v>
      </c>
      <c r="V254" s="8">
        <f>IF(AND(Inputs!$B$79=1,B254="OPEN",A254&gt;=Inputs!$B$82,C254&gt;=$E$10,MOD(C254-$E$10,$E$9)=0),MIN(MAX(0,MAX(0,T254-$E$8)*Inputs!$B$81-U254),MAX(0,G254-I254)),0)</f>
        <v>0</v>
      </c>
      <c r="W254" s="8">
        <f t="shared" si="232"/>
        <v>232000</v>
      </c>
      <c r="X254" s="8">
        <f t="shared" si="233"/>
        <v>873309.8385</v>
      </c>
      <c r="Y254" s="8">
        <f t="shared" si="234"/>
        <v>1105309.839</v>
      </c>
      <c r="Z254" s="95">
        <f t="shared" si="235"/>
        <v>104172.424</v>
      </c>
    </row>
    <row r="255">
      <c r="A255" s="8">
        <f t="shared" si="236"/>
        <v>14</v>
      </c>
      <c r="B255" s="96" t="str">
        <f t="array" ref="B255">INDEX('Monthly Base'!$B$5:$B$67,A255+1)</f>
        <v>OPEN</v>
      </c>
      <c r="C255" s="96">
        <f t="array" ref="C255">INDEX('Monthly Base'!$C$5:$C$67,A255+1)</f>
        <v>12</v>
      </c>
      <c r="D255" s="95">
        <f t="array" ref="D255">INDEX('Monthly Base'!$O$5:$O$67,A255+1)</f>
        <v>25731.61017</v>
      </c>
      <c r="E255" s="95">
        <f t="array" ref="E255">INDEX('Monthly Base'!$Y$5:$Y$67,A255+1)</f>
        <v>0</v>
      </c>
      <c r="F255" s="95">
        <f t="shared" si="237"/>
        <v>104172.424</v>
      </c>
      <c r="G255" s="8">
        <f t="shared" ref="G255:H255" si="253">W254</f>
        <v>232000</v>
      </c>
      <c r="H255" s="8">
        <f t="shared" si="253"/>
        <v>873309.8385</v>
      </c>
      <c r="I255" s="95">
        <f>IF(OR(A255&lt;Inputs!$B$15,G255&lt;=0),0,MIN(Financing!$B$10,G255))</f>
        <v>4000</v>
      </c>
      <c r="J255" s="8">
        <f>IF(OR(A255&lt;Inputs!$B$15,H255&lt;=0),0,H255*Inputs!$B$13/12)</f>
        <v>3456.851444</v>
      </c>
      <c r="K255" s="95">
        <f>IF(OR(A255&lt;Inputs!$B$15,H255&lt;=0),0,MIN(Financing!$C$10,H255+J255))</f>
        <v>16881.22078</v>
      </c>
      <c r="L255" s="95">
        <f t="shared" si="228"/>
        <v>20881.22078</v>
      </c>
      <c r="M255" s="8">
        <f t="shared" si="239"/>
        <v>157004.1445</v>
      </c>
      <c r="N255" s="8">
        <f t="shared" si="240"/>
        <v>5000</v>
      </c>
      <c r="O255" s="8">
        <f t="shared" si="241"/>
        <v>5000</v>
      </c>
      <c r="P255" s="8">
        <f t="shared" si="229"/>
        <v>12000</v>
      </c>
      <c r="Q255" s="95">
        <f>D255-J255-IF(C255=0,0,Inputs!$B$18)-P255</f>
        <v>3461.758725</v>
      </c>
      <c r="R255" s="8">
        <f>MAX(0,Q255-M255)*Inputs!$B$17</f>
        <v>0</v>
      </c>
      <c r="S255" s="8">
        <f t="shared" si="230"/>
        <v>153542.3857</v>
      </c>
      <c r="T255" s="95">
        <f t="shared" si="231"/>
        <v>97022.81342</v>
      </c>
      <c r="U255" s="8">
        <f>IF(AND(Inputs!$B$79=1,B255="OPEN",A255&gt;=Inputs!$B$82,C255&gt;=$E$10,MOD(C255-$E$10,$E$9)=0),MIN(MAX(0,T255-$E$8)*Inputs!$B$81,MAX(0,H255+J255-K255)),0)</f>
        <v>0</v>
      </c>
      <c r="V255" s="8">
        <f>IF(AND(Inputs!$B$79=1,B255="OPEN",A255&gt;=Inputs!$B$82,C255&gt;=$E$10,MOD(C255-$E$10,$E$9)=0),MIN(MAX(0,MAX(0,T255-$E$8)*Inputs!$B$81-U255),MAX(0,G255-I255)),0)</f>
        <v>0</v>
      </c>
      <c r="W255" s="8">
        <f t="shared" si="232"/>
        <v>228000</v>
      </c>
      <c r="X255" s="8">
        <f t="shared" si="233"/>
        <v>859885.4692</v>
      </c>
      <c r="Y255" s="8">
        <f t="shared" si="234"/>
        <v>1087885.469</v>
      </c>
      <c r="Z255" s="95">
        <f t="shared" si="235"/>
        <v>97022.81342</v>
      </c>
    </row>
    <row r="256">
      <c r="A256" s="8">
        <f t="shared" si="236"/>
        <v>15</v>
      </c>
      <c r="B256" s="96" t="str">
        <f t="array" ref="B256">INDEX('Monthly Base'!$B$5:$B$67,A256+1)</f>
        <v>OPEN</v>
      </c>
      <c r="C256" s="96">
        <f t="array" ref="C256">INDEX('Monthly Base'!$C$5:$C$67,A256+1)</f>
        <v>13</v>
      </c>
      <c r="D256" s="95">
        <f t="array" ref="D256">INDEX('Monthly Base'!$O$5:$O$67,A256+1)</f>
        <v>28163.82203</v>
      </c>
      <c r="E256" s="95">
        <f t="array" ref="E256">INDEX('Monthly Base'!$Y$5:$Y$67,A256+1)</f>
        <v>0</v>
      </c>
      <c r="F256" s="95">
        <f t="shared" si="237"/>
        <v>97022.81342</v>
      </c>
      <c r="G256" s="8">
        <f t="shared" ref="G256:H256" si="254">W255</f>
        <v>228000</v>
      </c>
      <c r="H256" s="8">
        <f t="shared" si="254"/>
        <v>859885.4692</v>
      </c>
      <c r="I256" s="95">
        <f>IF(OR(A256&lt;Inputs!$B$15,G256&lt;=0),0,MIN(Financing!$B$10,G256))</f>
        <v>4000</v>
      </c>
      <c r="J256" s="8">
        <f>IF(OR(A256&lt;Inputs!$B$15,H256&lt;=0),0,H256*Inputs!$B$13/12)</f>
        <v>3403.713315</v>
      </c>
      <c r="K256" s="95">
        <f>IF(OR(A256&lt;Inputs!$B$15,H256&lt;=0),0,MIN(Financing!$C$10,H256+J256))</f>
        <v>16881.22078</v>
      </c>
      <c r="L256" s="95">
        <f t="shared" si="228"/>
        <v>20881.22078</v>
      </c>
      <c r="M256" s="8">
        <f t="shared" si="239"/>
        <v>153542.3857</v>
      </c>
      <c r="N256" s="8">
        <f t="shared" si="240"/>
        <v>5000</v>
      </c>
      <c r="O256" s="8">
        <f t="shared" si="241"/>
        <v>5000</v>
      </c>
      <c r="P256" s="8">
        <f t="shared" si="229"/>
        <v>12000</v>
      </c>
      <c r="Q256" s="95">
        <f>D256-J256-IF(C256=0,0,Inputs!$B$18)-P256</f>
        <v>5947.108718</v>
      </c>
      <c r="R256" s="8">
        <f>MAX(0,Q256-M256)*Inputs!$B$17</f>
        <v>0</v>
      </c>
      <c r="S256" s="8">
        <f t="shared" si="230"/>
        <v>147595.277</v>
      </c>
      <c r="T256" s="95">
        <f t="shared" si="231"/>
        <v>92305.41467</v>
      </c>
      <c r="U256" s="8">
        <f>IF(AND(Inputs!$B$79=1,B256="OPEN",A256&gt;=Inputs!$B$82,C256&gt;=$E$10,MOD(C256-$E$10,$E$9)=0),MIN(MAX(0,T256-$E$8)*Inputs!$B$81,MAX(0,H256+J256-K256)),0)</f>
        <v>0</v>
      </c>
      <c r="V256" s="8">
        <f>IF(AND(Inputs!$B$79=1,B256="OPEN",A256&gt;=Inputs!$B$82,C256&gt;=$E$10,MOD(C256-$E$10,$E$9)=0),MIN(MAX(0,MAX(0,T256-$E$8)*Inputs!$B$81-U256),MAX(0,G256-I256)),0)</f>
        <v>0</v>
      </c>
      <c r="W256" s="8">
        <f t="shared" si="232"/>
        <v>224000</v>
      </c>
      <c r="X256" s="8">
        <f t="shared" si="233"/>
        <v>846407.9617</v>
      </c>
      <c r="Y256" s="8">
        <f t="shared" si="234"/>
        <v>1070407.962</v>
      </c>
      <c r="Z256" s="95">
        <f t="shared" si="235"/>
        <v>92305.41467</v>
      </c>
    </row>
    <row r="257">
      <c r="A257" s="8">
        <f t="shared" si="236"/>
        <v>16</v>
      </c>
      <c r="B257" s="96" t="str">
        <f t="array" ref="B257">INDEX('Monthly Base'!$B$5:$B$67,A257+1)</f>
        <v>OPEN</v>
      </c>
      <c r="C257" s="96">
        <f t="array" ref="C257">INDEX('Monthly Base'!$C$5:$C$67,A257+1)</f>
        <v>14</v>
      </c>
      <c r="D257" s="95">
        <f t="array" ref="D257">INDEX('Monthly Base'!$O$5:$O$67,A257+1)</f>
        <v>30408.94068</v>
      </c>
      <c r="E257" s="95">
        <f t="array" ref="E257">INDEX('Monthly Base'!$Y$5:$Y$67,A257+1)</f>
        <v>0</v>
      </c>
      <c r="F257" s="95">
        <f t="shared" si="237"/>
        <v>92305.41467</v>
      </c>
      <c r="G257" s="8">
        <f t="shared" ref="G257:H257" si="255">W256</f>
        <v>224000</v>
      </c>
      <c r="H257" s="8">
        <f t="shared" si="255"/>
        <v>846407.9617</v>
      </c>
      <c r="I257" s="95">
        <f>IF(OR(A257&lt;Inputs!$B$15,G257&lt;=0),0,MIN(Financing!$B$10,G257))</f>
        <v>4000</v>
      </c>
      <c r="J257" s="8">
        <f>IF(OR(A257&lt;Inputs!$B$15,H257&lt;=0),0,H257*Inputs!$B$13/12)</f>
        <v>3350.364848</v>
      </c>
      <c r="K257" s="95">
        <f>IF(OR(A257&lt;Inputs!$B$15,H257&lt;=0),0,MIN(Financing!$C$10,H257+J257))</f>
        <v>16881.22078</v>
      </c>
      <c r="L257" s="95">
        <f t="shared" si="228"/>
        <v>20881.22078</v>
      </c>
      <c r="M257" s="8">
        <f t="shared" si="239"/>
        <v>147595.277</v>
      </c>
      <c r="N257" s="8">
        <f t="shared" si="240"/>
        <v>5000</v>
      </c>
      <c r="O257" s="8">
        <f t="shared" si="241"/>
        <v>5000</v>
      </c>
      <c r="P257" s="8">
        <f t="shared" si="229"/>
        <v>12000</v>
      </c>
      <c r="Q257" s="95">
        <f>D257-J257-IF(C257=0,0,Inputs!$B$18)-P257</f>
        <v>8245.57583</v>
      </c>
      <c r="R257" s="8">
        <f>MAX(0,Q257-M257)*Inputs!$B$17</f>
        <v>0</v>
      </c>
      <c r="S257" s="8">
        <f t="shared" si="230"/>
        <v>139349.7012</v>
      </c>
      <c r="T257" s="95">
        <f t="shared" si="231"/>
        <v>89833.13457</v>
      </c>
      <c r="U257" s="8">
        <f>IF(AND(Inputs!$B$79=1,B257="OPEN",A257&gt;=Inputs!$B$82,C257&gt;=$E$10,MOD(C257-$E$10,$E$9)=0),MIN(MAX(0,T257-$E$8)*Inputs!$B$81,MAX(0,H257+J257-K257)),0)</f>
        <v>0</v>
      </c>
      <c r="V257" s="8">
        <f>IF(AND(Inputs!$B$79=1,B257="OPEN",A257&gt;=Inputs!$B$82,C257&gt;=$E$10,MOD(C257-$E$10,$E$9)=0),MIN(MAX(0,MAX(0,T257-$E$8)*Inputs!$B$81-U257),MAX(0,G257-I257)),0)</f>
        <v>0</v>
      </c>
      <c r="W257" s="8">
        <f t="shared" si="232"/>
        <v>220000</v>
      </c>
      <c r="X257" s="8">
        <f t="shared" si="233"/>
        <v>832877.1058</v>
      </c>
      <c r="Y257" s="8">
        <f t="shared" si="234"/>
        <v>1052877.106</v>
      </c>
      <c r="Z257" s="95">
        <f t="shared" si="235"/>
        <v>89833.13457</v>
      </c>
    </row>
    <row r="258">
      <c r="A258" s="8">
        <f t="shared" si="236"/>
        <v>17</v>
      </c>
      <c r="B258" s="96" t="str">
        <f t="array" ref="B258">INDEX('Monthly Base'!$B$5:$B$67,A258+1)</f>
        <v>OPEN</v>
      </c>
      <c r="C258" s="96">
        <f t="array" ref="C258">INDEX('Monthly Base'!$C$5:$C$67,A258+1)</f>
        <v>15</v>
      </c>
      <c r="D258" s="95">
        <f t="array" ref="D258">INDEX('Monthly Base'!$O$5:$O$67,A258+1)</f>
        <v>32841.15254</v>
      </c>
      <c r="E258" s="95">
        <f t="array" ref="E258">INDEX('Monthly Base'!$Y$5:$Y$67,A258+1)</f>
        <v>0</v>
      </c>
      <c r="F258" s="95">
        <f t="shared" si="237"/>
        <v>89833.13457</v>
      </c>
      <c r="G258" s="8">
        <f t="shared" ref="G258:H258" si="256">W257</f>
        <v>220000</v>
      </c>
      <c r="H258" s="8">
        <f t="shared" si="256"/>
        <v>832877.1058</v>
      </c>
      <c r="I258" s="95">
        <f>IF(OR(A258&lt;Inputs!$B$15,G258&lt;=0),0,MIN(Financing!$B$10,G258))</f>
        <v>4000</v>
      </c>
      <c r="J258" s="8">
        <f>IF(OR(A258&lt;Inputs!$B$15,H258&lt;=0),0,H258*Inputs!$B$13/12)</f>
        <v>3296.80521</v>
      </c>
      <c r="K258" s="95">
        <f>IF(OR(A258&lt;Inputs!$B$15,H258&lt;=0),0,MIN(Financing!$C$10,H258+J258))</f>
        <v>16881.22078</v>
      </c>
      <c r="L258" s="95">
        <f t="shared" si="228"/>
        <v>20881.22078</v>
      </c>
      <c r="M258" s="8">
        <f t="shared" si="239"/>
        <v>139349.7012</v>
      </c>
      <c r="N258" s="8">
        <f t="shared" si="240"/>
        <v>5000</v>
      </c>
      <c r="O258" s="8">
        <f t="shared" si="241"/>
        <v>5000</v>
      </c>
      <c r="P258" s="8">
        <f t="shared" si="229"/>
        <v>12000</v>
      </c>
      <c r="Q258" s="95">
        <f>D258-J258-IF(C258=0,0,Inputs!$B$18)-P258</f>
        <v>10731.34733</v>
      </c>
      <c r="R258" s="8">
        <f>MAX(0,Q258-M258)*Inputs!$B$17</f>
        <v>0</v>
      </c>
      <c r="S258" s="8">
        <f t="shared" si="230"/>
        <v>128618.3539</v>
      </c>
      <c r="T258" s="95">
        <f t="shared" si="231"/>
        <v>89793.06633</v>
      </c>
      <c r="U258" s="8">
        <f>IF(AND(Inputs!$B$79=1,B258="OPEN",A258&gt;=Inputs!$B$82,C258&gt;=$E$10,MOD(C258-$E$10,$E$9)=0),MIN(MAX(0,T258-$E$8)*Inputs!$B$81,MAX(0,H258+J258-K258)),0)</f>
        <v>0</v>
      </c>
      <c r="V258" s="8">
        <f>IF(AND(Inputs!$B$79=1,B258="OPEN",A258&gt;=Inputs!$B$82,C258&gt;=$E$10,MOD(C258-$E$10,$E$9)=0),MIN(MAX(0,MAX(0,T258-$E$8)*Inputs!$B$81-U258),MAX(0,G258-I258)),0)</f>
        <v>0</v>
      </c>
      <c r="W258" s="8">
        <f t="shared" si="232"/>
        <v>216000</v>
      </c>
      <c r="X258" s="8">
        <f t="shared" si="233"/>
        <v>819292.6902</v>
      </c>
      <c r="Y258" s="8">
        <f t="shared" si="234"/>
        <v>1035292.69</v>
      </c>
      <c r="Z258" s="95">
        <f t="shared" si="235"/>
        <v>89793.06633</v>
      </c>
    </row>
    <row r="259">
      <c r="A259" s="8">
        <f t="shared" si="236"/>
        <v>18</v>
      </c>
      <c r="B259" s="96" t="str">
        <f t="array" ref="B259">INDEX('Monthly Base'!$B$5:$B$67,A259+1)</f>
        <v>OPEN</v>
      </c>
      <c r="C259" s="96">
        <f t="array" ref="C259">INDEX('Monthly Base'!$C$5:$C$67,A259+1)</f>
        <v>16</v>
      </c>
      <c r="D259" s="95">
        <f t="array" ref="D259">INDEX('Monthly Base'!$O$5:$O$67,A259+1)</f>
        <v>35086.27119</v>
      </c>
      <c r="E259" s="95">
        <f t="array" ref="E259">INDEX('Monthly Base'!$Y$5:$Y$67,A259+1)</f>
        <v>0</v>
      </c>
      <c r="F259" s="95">
        <f t="shared" si="237"/>
        <v>89793.06633</v>
      </c>
      <c r="G259" s="8">
        <f t="shared" ref="G259:H259" si="257">W258</f>
        <v>216000</v>
      </c>
      <c r="H259" s="8">
        <f t="shared" si="257"/>
        <v>819292.6902</v>
      </c>
      <c r="I259" s="95">
        <f>IF(OR(A259&lt;Inputs!$B$15,G259&lt;=0),0,MIN(Financing!$B$10,G259))</f>
        <v>4000</v>
      </c>
      <c r="J259" s="8">
        <f>IF(OR(A259&lt;Inputs!$B$15,H259&lt;=0),0,H259*Inputs!$B$13/12)</f>
        <v>3243.033565</v>
      </c>
      <c r="K259" s="95">
        <f>IF(OR(A259&lt;Inputs!$B$15,H259&lt;=0),0,MIN(Financing!$C$10,H259+J259))</f>
        <v>16881.22078</v>
      </c>
      <c r="L259" s="95">
        <f t="shared" si="228"/>
        <v>20881.22078</v>
      </c>
      <c r="M259" s="8">
        <f t="shared" si="239"/>
        <v>128618.3539</v>
      </c>
      <c r="N259" s="8">
        <f t="shared" si="240"/>
        <v>5000</v>
      </c>
      <c r="O259" s="8">
        <f t="shared" si="241"/>
        <v>5000</v>
      </c>
      <c r="P259" s="8">
        <f t="shared" si="229"/>
        <v>12000</v>
      </c>
      <c r="Q259" s="95">
        <f>D259-J259-IF(C259=0,0,Inputs!$B$18)-P259</f>
        <v>13030.23762</v>
      </c>
      <c r="R259" s="8">
        <f>MAX(0,Q259-M259)*Inputs!$B$17</f>
        <v>0</v>
      </c>
      <c r="S259" s="8">
        <f t="shared" si="230"/>
        <v>115588.1162</v>
      </c>
      <c r="T259" s="95">
        <f t="shared" si="231"/>
        <v>91998.11674</v>
      </c>
      <c r="U259" s="8">
        <f>IF(AND(Inputs!$B$79=1,B259="OPEN",A259&gt;=Inputs!$B$82,C259&gt;=$E$10,MOD(C259-$E$10,$E$9)=0),MIN(MAX(0,T259-$E$8)*Inputs!$B$81,MAX(0,H259+J259-K259)),0)</f>
        <v>0</v>
      </c>
      <c r="V259" s="8">
        <f>IF(AND(Inputs!$B$79=1,B259="OPEN",A259&gt;=Inputs!$B$82,C259&gt;=$E$10,MOD(C259-$E$10,$E$9)=0),MIN(MAX(0,MAX(0,T259-$E$8)*Inputs!$B$81-U259),MAX(0,G259-I259)),0)</f>
        <v>0</v>
      </c>
      <c r="W259" s="8">
        <f t="shared" si="232"/>
        <v>212000</v>
      </c>
      <c r="X259" s="8">
        <f t="shared" si="233"/>
        <v>805654.503</v>
      </c>
      <c r="Y259" s="8">
        <f t="shared" si="234"/>
        <v>1017654.503</v>
      </c>
      <c r="Z259" s="95">
        <f t="shared" si="235"/>
        <v>91998.11674</v>
      </c>
    </row>
    <row r="260">
      <c r="A260" s="8">
        <f t="shared" si="236"/>
        <v>19</v>
      </c>
      <c r="B260" s="96" t="str">
        <f t="array" ref="B260">INDEX('Monthly Base'!$B$5:$B$67,A260+1)</f>
        <v>OPEN</v>
      </c>
      <c r="C260" s="96">
        <f t="array" ref="C260">INDEX('Monthly Base'!$C$5:$C$67,A260+1)</f>
        <v>17</v>
      </c>
      <c r="D260" s="95">
        <f t="array" ref="D260">INDEX('Monthly Base'!$O$5:$O$67,A260+1)</f>
        <v>37518.48305</v>
      </c>
      <c r="E260" s="95">
        <f t="array" ref="E260">INDEX('Monthly Base'!$Y$5:$Y$67,A260+1)</f>
        <v>0</v>
      </c>
      <c r="F260" s="95">
        <f t="shared" si="237"/>
        <v>91998.11674</v>
      </c>
      <c r="G260" s="8">
        <f t="shared" ref="G260:H260" si="258">W259</f>
        <v>212000</v>
      </c>
      <c r="H260" s="8">
        <f t="shared" si="258"/>
        <v>805654.503</v>
      </c>
      <c r="I260" s="95">
        <f>IF(OR(A260&lt;Inputs!$B$15,G260&lt;=0),0,MIN(Financing!$B$10,G260))</f>
        <v>4000</v>
      </c>
      <c r="J260" s="8">
        <f>IF(OR(A260&lt;Inputs!$B$15,H260&lt;=0),0,H260*Inputs!$B$13/12)</f>
        <v>3189.049074</v>
      </c>
      <c r="K260" s="95">
        <f>IF(OR(A260&lt;Inputs!$B$15,H260&lt;=0),0,MIN(Financing!$C$10,H260+J260))</f>
        <v>16881.22078</v>
      </c>
      <c r="L260" s="95">
        <f t="shared" si="228"/>
        <v>20881.22078</v>
      </c>
      <c r="M260" s="8">
        <f t="shared" si="239"/>
        <v>115588.1162</v>
      </c>
      <c r="N260" s="8">
        <f t="shared" si="240"/>
        <v>5000</v>
      </c>
      <c r="O260" s="8">
        <f t="shared" si="241"/>
        <v>5000</v>
      </c>
      <c r="P260" s="8">
        <f t="shared" si="229"/>
        <v>12000</v>
      </c>
      <c r="Q260" s="95">
        <f>D260-J260-IF(C260=0,0,Inputs!$B$18)-P260</f>
        <v>15516.43398</v>
      </c>
      <c r="R260" s="8">
        <f>MAX(0,Q260-M260)*Inputs!$B$17</f>
        <v>0</v>
      </c>
      <c r="S260" s="8">
        <f t="shared" si="230"/>
        <v>100071.6823</v>
      </c>
      <c r="T260" s="95">
        <f t="shared" si="231"/>
        <v>96635.379</v>
      </c>
      <c r="U260" s="8">
        <f>IF(AND(Inputs!$B$79=1,B260="OPEN",A260&gt;=Inputs!$B$82,C260&gt;=$E$10,MOD(C260-$E$10,$E$9)=0),MIN(MAX(0,T260-$E$8)*Inputs!$B$81,MAX(0,H260+J260-K260)),0)</f>
        <v>0</v>
      </c>
      <c r="V260" s="8">
        <f>IF(AND(Inputs!$B$79=1,B260="OPEN",A260&gt;=Inputs!$B$82,C260&gt;=$E$10,MOD(C260-$E$10,$E$9)=0),MIN(MAX(0,MAX(0,T260-$E$8)*Inputs!$B$81-U260),MAX(0,G260-I260)),0)</f>
        <v>0</v>
      </c>
      <c r="W260" s="8">
        <f t="shared" si="232"/>
        <v>208000</v>
      </c>
      <c r="X260" s="8">
        <f t="shared" si="233"/>
        <v>791962.3313</v>
      </c>
      <c r="Y260" s="8">
        <f t="shared" si="234"/>
        <v>999962.3313</v>
      </c>
      <c r="Z260" s="95">
        <f t="shared" si="235"/>
        <v>96635.379</v>
      </c>
    </row>
    <row r="261">
      <c r="A261" s="8">
        <f t="shared" si="236"/>
        <v>20</v>
      </c>
      <c r="B261" s="96" t="str">
        <f t="array" ref="B261">INDEX('Monthly Base'!$B$5:$B$67,A261+1)</f>
        <v>OPEN</v>
      </c>
      <c r="C261" s="96">
        <f t="array" ref="C261">INDEX('Monthly Base'!$C$5:$C$67,A261+1)</f>
        <v>18</v>
      </c>
      <c r="D261" s="95">
        <f t="array" ref="D261">INDEX('Monthly Base'!$O$5:$O$67,A261+1)</f>
        <v>39763.60169</v>
      </c>
      <c r="E261" s="95">
        <f t="array" ref="E261">INDEX('Monthly Base'!$Y$5:$Y$67,A261+1)</f>
        <v>0</v>
      </c>
      <c r="F261" s="95">
        <f t="shared" si="237"/>
        <v>96635.379</v>
      </c>
      <c r="G261" s="8">
        <f t="shared" ref="G261:H261" si="259">W260</f>
        <v>208000</v>
      </c>
      <c r="H261" s="8">
        <f t="shared" si="259"/>
        <v>791962.3313</v>
      </c>
      <c r="I261" s="95">
        <f>IF(OR(A261&lt;Inputs!$B$15,G261&lt;=0),0,MIN(Financing!$B$10,G261))</f>
        <v>4000</v>
      </c>
      <c r="J261" s="8">
        <f>IF(OR(A261&lt;Inputs!$B$15,H261&lt;=0),0,H261*Inputs!$B$13/12)</f>
        <v>3134.850895</v>
      </c>
      <c r="K261" s="95">
        <f>IF(OR(A261&lt;Inputs!$B$15,H261&lt;=0),0,MIN(Financing!$C$10,H261+J261))</f>
        <v>16881.22078</v>
      </c>
      <c r="L261" s="95">
        <f t="shared" si="228"/>
        <v>20881.22078</v>
      </c>
      <c r="M261" s="8">
        <f t="shared" si="239"/>
        <v>100071.6823</v>
      </c>
      <c r="N261" s="8">
        <f t="shared" si="240"/>
        <v>5000</v>
      </c>
      <c r="O261" s="8">
        <f t="shared" si="241"/>
        <v>5000</v>
      </c>
      <c r="P261" s="8">
        <f t="shared" si="229"/>
        <v>12000</v>
      </c>
      <c r="Q261" s="95">
        <f>D261-J261-IF(C261=0,0,Inputs!$B$18)-P261</f>
        <v>17815.7508</v>
      </c>
      <c r="R261" s="8">
        <f>MAX(0,Q261-M261)*Inputs!$B$17</f>
        <v>0</v>
      </c>
      <c r="S261" s="8">
        <f t="shared" si="230"/>
        <v>82255.93147</v>
      </c>
      <c r="T261" s="95">
        <f t="shared" si="231"/>
        <v>103517.7599</v>
      </c>
      <c r="U261" s="8">
        <f>IF(AND(Inputs!$B$79=1,B261="OPEN",A261&gt;=Inputs!$B$82,C261&gt;=$E$10,MOD(C261-$E$10,$E$9)=0),MIN(MAX(0,T261-$E$8)*Inputs!$B$81,MAX(0,H261+J261-K261)),0)</f>
        <v>0</v>
      </c>
      <c r="V261" s="8">
        <f>IF(AND(Inputs!$B$79=1,B261="OPEN",A261&gt;=Inputs!$B$82,C261&gt;=$E$10,MOD(C261-$E$10,$E$9)=0),MIN(MAX(0,MAX(0,T261-$E$8)*Inputs!$B$81-U261),MAX(0,G261-I261)),0)</f>
        <v>0</v>
      </c>
      <c r="W261" s="8">
        <f t="shared" si="232"/>
        <v>204000</v>
      </c>
      <c r="X261" s="8">
        <f t="shared" si="233"/>
        <v>778215.9614</v>
      </c>
      <c r="Y261" s="8">
        <f t="shared" si="234"/>
        <v>982215.9614</v>
      </c>
      <c r="Z261" s="95">
        <f t="shared" si="235"/>
        <v>103517.7599</v>
      </c>
    </row>
    <row r="262">
      <c r="A262" s="8">
        <f t="shared" si="236"/>
        <v>21</v>
      </c>
      <c r="B262" s="96" t="str">
        <f t="array" ref="B262">INDEX('Monthly Base'!$B$5:$B$67,A262+1)</f>
        <v>OPEN</v>
      </c>
      <c r="C262" s="96">
        <f t="array" ref="C262">INDEX('Monthly Base'!$C$5:$C$67,A262+1)</f>
        <v>19</v>
      </c>
      <c r="D262" s="95">
        <f t="array" ref="D262">INDEX('Monthly Base'!$O$5:$O$67,A262+1)</f>
        <v>42195.81356</v>
      </c>
      <c r="E262" s="95">
        <f t="array" ref="E262">INDEX('Monthly Base'!$Y$5:$Y$67,A262+1)</f>
        <v>0</v>
      </c>
      <c r="F262" s="95">
        <f t="shared" si="237"/>
        <v>103517.7599</v>
      </c>
      <c r="G262" s="8">
        <f t="shared" ref="G262:H262" si="260">W261</f>
        <v>204000</v>
      </c>
      <c r="H262" s="8">
        <f t="shared" si="260"/>
        <v>778215.9614</v>
      </c>
      <c r="I262" s="95">
        <f>IF(OR(A262&lt;Inputs!$B$15,G262&lt;=0),0,MIN(Financing!$B$10,G262))</f>
        <v>4000</v>
      </c>
      <c r="J262" s="8">
        <f>IF(OR(A262&lt;Inputs!$B$15,H262&lt;=0),0,H262*Inputs!$B$13/12)</f>
        <v>3080.43818</v>
      </c>
      <c r="K262" s="95">
        <f>IF(OR(A262&lt;Inputs!$B$15,H262&lt;=0),0,MIN(Financing!$C$10,H262+J262))</f>
        <v>16881.22078</v>
      </c>
      <c r="L262" s="95">
        <f t="shared" si="228"/>
        <v>20881.22078</v>
      </c>
      <c r="M262" s="8">
        <f t="shared" si="239"/>
        <v>82255.93147</v>
      </c>
      <c r="N262" s="8">
        <f t="shared" si="240"/>
        <v>5000</v>
      </c>
      <c r="O262" s="8">
        <f t="shared" si="241"/>
        <v>5000</v>
      </c>
      <c r="P262" s="8">
        <f t="shared" si="229"/>
        <v>12000</v>
      </c>
      <c r="Q262" s="95">
        <f>D262-J262-IF(C262=0,0,Inputs!$B$18)-P262</f>
        <v>20302.37538</v>
      </c>
      <c r="R262" s="8">
        <f>MAX(0,Q262-M262)*Inputs!$B$17</f>
        <v>0</v>
      </c>
      <c r="S262" s="8">
        <f t="shared" si="230"/>
        <v>61953.55609</v>
      </c>
      <c r="T262" s="95">
        <f t="shared" si="231"/>
        <v>112832.3527</v>
      </c>
      <c r="U262" s="8">
        <f>IF(AND(Inputs!$B$79=1,B262="OPEN",A262&gt;=Inputs!$B$82,C262&gt;=$E$10,MOD(C262-$E$10,$E$9)=0),MIN(MAX(0,T262-$E$8)*Inputs!$B$81,MAX(0,H262+J262-K262)),0)</f>
        <v>0</v>
      </c>
      <c r="V262" s="8">
        <f>IF(AND(Inputs!$B$79=1,B262="OPEN",A262&gt;=Inputs!$B$82,C262&gt;=$E$10,MOD(C262-$E$10,$E$9)=0),MIN(MAX(0,MAX(0,T262-$E$8)*Inputs!$B$81-U262),MAX(0,G262-I262)),0)</f>
        <v>0</v>
      </c>
      <c r="W262" s="8">
        <f t="shared" si="232"/>
        <v>200000</v>
      </c>
      <c r="X262" s="8">
        <f t="shared" si="233"/>
        <v>764415.1788</v>
      </c>
      <c r="Y262" s="8">
        <f t="shared" si="234"/>
        <v>964415.1788</v>
      </c>
      <c r="Z262" s="95">
        <f t="shared" si="235"/>
        <v>112832.3527</v>
      </c>
    </row>
    <row r="263">
      <c r="A263" s="8">
        <f t="shared" si="236"/>
        <v>22</v>
      </c>
      <c r="B263" s="96" t="str">
        <f t="array" ref="B263">INDEX('Monthly Base'!$B$5:$B$67,A263+1)</f>
        <v>OPEN</v>
      </c>
      <c r="C263" s="96">
        <f t="array" ref="C263">INDEX('Monthly Base'!$C$5:$C$67,A263+1)</f>
        <v>20</v>
      </c>
      <c r="D263" s="95">
        <f t="array" ref="D263">INDEX('Monthly Base'!$O$5:$O$67,A263+1)</f>
        <v>44440.9322</v>
      </c>
      <c r="E263" s="95">
        <f t="array" ref="E263">INDEX('Monthly Base'!$Y$5:$Y$67,A263+1)</f>
        <v>0</v>
      </c>
      <c r="F263" s="95">
        <f t="shared" si="237"/>
        <v>112832.3527</v>
      </c>
      <c r="G263" s="8">
        <f t="shared" ref="G263:H263" si="261">W262</f>
        <v>200000</v>
      </c>
      <c r="H263" s="8">
        <f t="shared" si="261"/>
        <v>764415.1788</v>
      </c>
      <c r="I263" s="95">
        <f>IF(OR(A263&lt;Inputs!$B$15,G263&lt;=0),0,MIN(Financing!$B$10,G263))</f>
        <v>4000</v>
      </c>
      <c r="J263" s="8">
        <f>IF(OR(A263&lt;Inputs!$B$15,H263&lt;=0),0,H263*Inputs!$B$13/12)</f>
        <v>3025.810083</v>
      </c>
      <c r="K263" s="95">
        <f>IF(OR(A263&lt;Inputs!$B$15,H263&lt;=0),0,MIN(Financing!$C$10,H263+J263))</f>
        <v>16881.22078</v>
      </c>
      <c r="L263" s="95">
        <f t="shared" si="228"/>
        <v>20881.22078</v>
      </c>
      <c r="M263" s="8">
        <f t="shared" si="239"/>
        <v>61953.55609</v>
      </c>
      <c r="N263" s="8">
        <f t="shared" si="240"/>
        <v>5000</v>
      </c>
      <c r="O263" s="8">
        <f t="shared" si="241"/>
        <v>5000</v>
      </c>
      <c r="P263" s="8">
        <f t="shared" si="229"/>
        <v>12000</v>
      </c>
      <c r="Q263" s="95">
        <f>D263-J263-IF(C263=0,0,Inputs!$B$18)-P263</f>
        <v>22602.12212</v>
      </c>
      <c r="R263" s="8">
        <f>MAX(0,Q263-M263)*Inputs!$B$17</f>
        <v>0</v>
      </c>
      <c r="S263" s="8">
        <f t="shared" si="230"/>
        <v>39351.43397</v>
      </c>
      <c r="T263" s="95">
        <f t="shared" si="231"/>
        <v>124392.0641</v>
      </c>
      <c r="U263" s="8">
        <f>IF(AND(Inputs!$B$79=1,B263="OPEN",A263&gt;=Inputs!$B$82,C263&gt;=$E$10,MOD(C263-$E$10,$E$9)=0),MIN(MAX(0,T263-$E$8)*Inputs!$B$81,MAX(0,H263+J263-K263)),0)</f>
        <v>0</v>
      </c>
      <c r="V263" s="8">
        <f>IF(AND(Inputs!$B$79=1,B263="OPEN",A263&gt;=Inputs!$B$82,C263&gt;=$E$10,MOD(C263-$E$10,$E$9)=0),MIN(MAX(0,MAX(0,T263-$E$8)*Inputs!$B$81-U263),MAX(0,G263-I263)),0)</f>
        <v>0</v>
      </c>
      <c r="W263" s="8">
        <f t="shared" si="232"/>
        <v>196000</v>
      </c>
      <c r="X263" s="8">
        <f t="shared" si="233"/>
        <v>750559.7681</v>
      </c>
      <c r="Y263" s="8">
        <f t="shared" si="234"/>
        <v>946559.7681</v>
      </c>
      <c r="Z263" s="95">
        <f t="shared" si="235"/>
        <v>124392.0641</v>
      </c>
    </row>
    <row r="264">
      <c r="A264" s="8">
        <f t="shared" si="236"/>
        <v>23</v>
      </c>
      <c r="B264" s="96" t="str">
        <f t="array" ref="B264">INDEX('Monthly Base'!$B$5:$B$67,A264+1)</f>
        <v>OPEN</v>
      </c>
      <c r="C264" s="96">
        <f t="array" ref="C264">INDEX('Monthly Base'!$C$5:$C$67,A264+1)</f>
        <v>21</v>
      </c>
      <c r="D264" s="95">
        <f t="array" ref="D264">INDEX('Monthly Base'!$O$5:$O$67,A264+1)</f>
        <v>46873.14407</v>
      </c>
      <c r="E264" s="95">
        <f t="array" ref="E264">INDEX('Monthly Base'!$Y$5:$Y$67,A264+1)</f>
        <v>0</v>
      </c>
      <c r="F264" s="95">
        <f t="shared" si="237"/>
        <v>124392.0641</v>
      </c>
      <c r="G264" s="8">
        <f t="shared" ref="G264:H264" si="262">W263</f>
        <v>196000</v>
      </c>
      <c r="H264" s="8">
        <f t="shared" si="262"/>
        <v>750559.7681</v>
      </c>
      <c r="I264" s="95">
        <f>IF(OR(A264&lt;Inputs!$B$15,G264&lt;=0),0,MIN(Financing!$B$10,G264))</f>
        <v>4000</v>
      </c>
      <c r="J264" s="8">
        <f>IF(OR(A264&lt;Inputs!$B$15,H264&lt;=0),0,H264*Inputs!$B$13/12)</f>
        <v>2970.965749</v>
      </c>
      <c r="K264" s="95">
        <f>IF(OR(A264&lt;Inputs!$B$15,H264&lt;=0),0,MIN(Financing!$C$10,H264+J264))</f>
        <v>16881.22078</v>
      </c>
      <c r="L264" s="95">
        <f t="shared" si="228"/>
        <v>20881.22078</v>
      </c>
      <c r="M264" s="8">
        <f t="shared" si="239"/>
        <v>39351.43397</v>
      </c>
      <c r="N264" s="8">
        <f t="shared" si="240"/>
        <v>5000</v>
      </c>
      <c r="O264" s="8">
        <f t="shared" si="241"/>
        <v>5000</v>
      </c>
      <c r="P264" s="8">
        <f t="shared" si="229"/>
        <v>12000</v>
      </c>
      <c r="Q264" s="95">
        <f>D264-J264-IF(C264=0,0,Inputs!$B$18)-P264</f>
        <v>25089.17832</v>
      </c>
      <c r="R264" s="8">
        <f>MAX(0,Q264-M264)*Inputs!$B$17</f>
        <v>0</v>
      </c>
      <c r="S264" s="8">
        <f t="shared" si="230"/>
        <v>14262.25565</v>
      </c>
      <c r="T264" s="95">
        <f t="shared" si="231"/>
        <v>138383.9874</v>
      </c>
      <c r="U264" s="8">
        <f>IF(AND(Inputs!$B$79=1,B264="OPEN",A264&gt;=Inputs!$B$82,C264&gt;=$E$10,MOD(C264-$E$10,$E$9)=0),MIN(MAX(0,T264-$E$8)*Inputs!$B$81,MAX(0,H264+J264-K264)),0)</f>
        <v>0</v>
      </c>
      <c r="V264" s="8">
        <f>IF(AND(Inputs!$B$79=1,B264="OPEN",A264&gt;=Inputs!$B$82,C264&gt;=$E$10,MOD(C264-$E$10,$E$9)=0),MIN(MAX(0,MAX(0,T264-$E$8)*Inputs!$B$81-U264),MAX(0,G264-I264)),0)</f>
        <v>0</v>
      </c>
      <c r="W264" s="8">
        <f t="shared" si="232"/>
        <v>192000</v>
      </c>
      <c r="X264" s="8">
        <f t="shared" si="233"/>
        <v>736649.5131</v>
      </c>
      <c r="Y264" s="8">
        <f t="shared" si="234"/>
        <v>928649.5131</v>
      </c>
      <c r="Z264" s="95">
        <f t="shared" si="235"/>
        <v>138383.9874</v>
      </c>
    </row>
    <row r="265">
      <c r="A265" s="8">
        <f t="shared" si="236"/>
        <v>24</v>
      </c>
      <c r="B265" s="96" t="str">
        <f t="array" ref="B265">INDEX('Monthly Base'!$B$5:$B$67,A265+1)</f>
        <v>OPEN</v>
      </c>
      <c r="C265" s="96">
        <f t="array" ref="C265">INDEX('Monthly Base'!$C$5:$C$67,A265+1)</f>
        <v>22</v>
      </c>
      <c r="D265" s="95">
        <f t="array" ref="D265">INDEX('Monthly Base'!$O$5:$O$67,A265+1)</f>
        <v>49118.26271</v>
      </c>
      <c r="E265" s="95">
        <f t="array" ref="E265">INDEX('Monthly Base'!$Y$5:$Y$67,A265+1)</f>
        <v>0</v>
      </c>
      <c r="F265" s="95">
        <f t="shared" si="237"/>
        <v>138383.9874</v>
      </c>
      <c r="G265" s="8">
        <f t="shared" ref="G265:H265" si="263">W264</f>
        <v>192000</v>
      </c>
      <c r="H265" s="8">
        <f t="shared" si="263"/>
        <v>736649.5131</v>
      </c>
      <c r="I265" s="95">
        <f>IF(OR(A265&lt;Inputs!$B$15,G265&lt;=0),0,MIN(Financing!$B$10,G265))</f>
        <v>4000</v>
      </c>
      <c r="J265" s="8">
        <f>IF(OR(A265&lt;Inputs!$B$15,H265&lt;=0),0,H265*Inputs!$B$13/12)</f>
        <v>2915.904323</v>
      </c>
      <c r="K265" s="95">
        <f>IF(OR(A265&lt;Inputs!$B$15,H265&lt;=0),0,MIN(Financing!$C$10,H265+J265))</f>
        <v>16881.22078</v>
      </c>
      <c r="L265" s="95">
        <f t="shared" si="228"/>
        <v>20881.22078</v>
      </c>
      <c r="M265" s="8">
        <f t="shared" si="239"/>
        <v>14262.25565</v>
      </c>
      <c r="N265" s="8">
        <f t="shared" si="240"/>
        <v>5000</v>
      </c>
      <c r="O265" s="8">
        <f t="shared" si="241"/>
        <v>5000</v>
      </c>
      <c r="P265" s="8">
        <f t="shared" si="229"/>
        <v>12000</v>
      </c>
      <c r="Q265" s="95">
        <f>D265-J265-IF(C265=0,0,Inputs!$B$18)-P265</f>
        <v>27389.35839</v>
      </c>
      <c r="R265" s="8">
        <f>MAX(0,Q265-M265)*Inputs!$B$17</f>
        <v>3019.23363</v>
      </c>
      <c r="S265" s="8">
        <f t="shared" si="230"/>
        <v>0</v>
      </c>
      <c r="T265" s="95">
        <f t="shared" si="231"/>
        <v>151601.7957</v>
      </c>
      <c r="U265" s="8">
        <f>IF(AND(Inputs!$B$79=1,B265="OPEN",A265&gt;=Inputs!$B$82,C265&gt;=$E$10,MOD(C265-$E$10,$E$9)=0),MIN(MAX(0,T265-$E$8)*Inputs!$B$81,MAX(0,H265+J265-K265)),0)</f>
        <v>0</v>
      </c>
      <c r="V265" s="8">
        <f>IF(AND(Inputs!$B$79=1,B265="OPEN",A265&gt;=Inputs!$B$82,C265&gt;=$E$10,MOD(C265-$E$10,$E$9)=0),MIN(MAX(0,MAX(0,T265-$E$8)*Inputs!$B$81-U265),MAX(0,G265-I265)),0)</f>
        <v>0</v>
      </c>
      <c r="W265" s="8">
        <f t="shared" si="232"/>
        <v>188000</v>
      </c>
      <c r="X265" s="8">
        <f t="shared" si="233"/>
        <v>722684.1966</v>
      </c>
      <c r="Y265" s="8">
        <f t="shared" si="234"/>
        <v>910684.1966</v>
      </c>
      <c r="Z265" s="95">
        <f t="shared" si="235"/>
        <v>151601.7957</v>
      </c>
    </row>
    <row r="266">
      <c r="A266" s="8">
        <f t="shared" si="236"/>
        <v>25</v>
      </c>
      <c r="B266" s="96" t="str">
        <f t="array" ref="B266">INDEX('Monthly Base'!$B$5:$B$67,A266+1)</f>
        <v>OPEN</v>
      </c>
      <c r="C266" s="96">
        <f t="array" ref="C266">INDEX('Monthly Base'!$C$5:$C$67,A266+1)</f>
        <v>23</v>
      </c>
      <c r="D266" s="95">
        <f t="array" ref="D266">INDEX('Monthly Base'!$O$5:$O$67,A266+1)</f>
        <v>51550.47458</v>
      </c>
      <c r="E266" s="95">
        <f t="array" ref="E266">INDEX('Monthly Base'!$Y$5:$Y$67,A266+1)</f>
        <v>0</v>
      </c>
      <c r="F266" s="95">
        <f t="shared" si="237"/>
        <v>151601.7957</v>
      </c>
      <c r="G266" s="8">
        <f t="shared" ref="G266:H266" si="264">W265</f>
        <v>188000</v>
      </c>
      <c r="H266" s="8">
        <f t="shared" si="264"/>
        <v>722684.1966</v>
      </c>
      <c r="I266" s="95">
        <f>IF(OR(A266&lt;Inputs!$B$15,G266&lt;=0),0,MIN(Financing!$B$10,G266))</f>
        <v>4000</v>
      </c>
      <c r="J266" s="8">
        <f>IF(OR(A266&lt;Inputs!$B$15,H266&lt;=0),0,H266*Inputs!$B$13/12)</f>
        <v>2860.624945</v>
      </c>
      <c r="K266" s="95">
        <f>IF(OR(A266&lt;Inputs!$B$15,H266&lt;=0),0,MIN(Financing!$C$10,H266+J266))</f>
        <v>16881.22078</v>
      </c>
      <c r="L266" s="95">
        <f t="shared" si="228"/>
        <v>20881.22078</v>
      </c>
      <c r="M266" s="8">
        <f t="shared" si="239"/>
        <v>0</v>
      </c>
      <c r="N266" s="8">
        <f t="shared" si="240"/>
        <v>5000</v>
      </c>
      <c r="O266" s="8">
        <f t="shared" si="241"/>
        <v>5000</v>
      </c>
      <c r="P266" s="8">
        <f t="shared" si="229"/>
        <v>12000</v>
      </c>
      <c r="Q266" s="95">
        <f>D266-J266-IF(C266=0,0,Inputs!$B$18)-P266</f>
        <v>29876.84963</v>
      </c>
      <c r="R266" s="8">
        <f>MAX(0,Q266-M266)*Inputs!$B$17</f>
        <v>6871.675415</v>
      </c>
      <c r="S266" s="8">
        <f t="shared" si="230"/>
        <v>0</v>
      </c>
      <c r="T266" s="95">
        <f t="shared" si="231"/>
        <v>163399.3741</v>
      </c>
      <c r="U266" s="8">
        <f>IF(AND(Inputs!$B$79=1,B266="OPEN",A266&gt;=Inputs!$B$82,C266&gt;=$E$10,MOD(C266-$E$10,$E$9)=0),MIN(MAX(0,T266-$E$8)*Inputs!$B$81,MAX(0,H266+J266-K266)),0)</f>
        <v>0</v>
      </c>
      <c r="V266" s="8">
        <f>IF(AND(Inputs!$B$79=1,B266="OPEN",A266&gt;=Inputs!$B$82,C266&gt;=$E$10,MOD(C266-$E$10,$E$9)=0),MIN(MAX(0,MAX(0,T266-$E$8)*Inputs!$B$81-U266),MAX(0,G266-I266)),0)</f>
        <v>0</v>
      </c>
      <c r="W266" s="8">
        <f t="shared" si="232"/>
        <v>184000</v>
      </c>
      <c r="X266" s="8">
        <f t="shared" si="233"/>
        <v>708663.6008</v>
      </c>
      <c r="Y266" s="8">
        <f t="shared" si="234"/>
        <v>892663.6008</v>
      </c>
      <c r="Z266" s="95">
        <f t="shared" si="235"/>
        <v>163399.3741</v>
      </c>
    </row>
    <row r="267">
      <c r="A267" s="8">
        <f t="shared" si="236"/>
        <v>26</v>
      </c>
      <c r="B267" s="96" t="str">
        <f t="array" ref="B267">INDEX('Monthly Base'!$B$5:$B$67,A267+1)</f>
        <v>OPEN</v>
      </c>
      <c r="C267" s="96">
        <f t="array" ref="C267">INDEX('Monthly Base'!$C$5:$C$67,A267+1)</f>
        <v>24</v>
      </c>
      <c r="D267" s="95">
        <f t="array" ref="D267">INDEX('Monthly Base'!$O$5:$O$67,A267+1)</f>
        <v>53795.59322</v>
      </c>
      <c r="E267" s="95">
        <f t="array" ref="E267">INDEX('Monthly Base'!$Y$5:$Y$67,A267+1)</f>
        <v>0</v>
      </c>
      <c r="F267" s="95">
        <f t="shared" si="237"/>
        <v>163399.3741</v>
      </c>
      <c r="G267" s="8">
        <f t="shared" ref="G267:H267" si="265">W266</f>
        <v>184000</v>
      </c>
      <c r="H267" s="8">
        <f t="shared" si="265"/>
        <v>708663.6008</v>
      </c>
      <c r="I267" s="95">
        <f>IF(OR(A267&lt;Inputs!$B$15,G267&lt;=0),0,MIN(Financing!$B$10,G267))</f>
        <v>4000</v>
      </c>
      <c r="J267" s="8">
        <f>IF(OR(A267&lt;Inputs!$B$15,H267&lt;=0),0,H267*Inputs!$B$13/12)</f>
        <v>2805.126753</v>
      </c>
      <c r="K267" s="95">
        <f>IF(OR(A267&lt;Inputs!$B$15,H267&lt;=0),0,MIN(Financing!$C$10,H267+J267))</f>
        <v>16881.22078</v>
      </c>
      <c r="L267" s="95">
        <f t="shared" si="228"/>
        <v>20881.22078</v>
      </c>
      <c r="M267" s="8">
        <f t="shared" si="239"/>
        <v>0</v>
      </c>
      <c r="N267" s="8">
        <f t="shared" si="240"/>
        <v>5000</v>
      </c>
      <c r="O267" s="8">
        <f t="shared" si="241"/>
        <v>5000</v>
      </c>
      <c r="P267" s="8">
        <f t="shared" si="229"/>
        <v>12000</v>
      </c>
      <c r="Q267" s="95">
        <f>D267-J267-IF(C267=0,0,Inputs!$B$18)-P267</f>
        <v>32177.46647</v>
      </c>
      <c r="R267" s="8">
        <f>MAX(0,Q267-M267)*Inputs!$B$17</f>
        <v>7400.817287</v>
      </c>
      <c r="S267" s="8">
        <f t="shared" si="230"/>
        <v>0</v>
      </c>
      <c r="T267" s="95">
        <f t="shared" si="231"/>
        <v>176912.9292</v>
      </c>
      <c r="U267" s="8">
        <f>IF(AND(Inputs!$B$79=1,B267="OPEN",A267&gt;=Inputs!$B$82,C267&gt;=$E$10,MOD(C267-$E$10,$E$9)=0),MIN(MAX(0,T267-$E$8)*Inputs!$B$81,MAX(0,H267+J267-K267)),0)</f>
        <v>26912.92924</v>
      </c>
      <c r="V267" s="8">
        <f>IF(AND(Inputs!$B$79=1,B267="OPEN",A267&gt;=Inputs!$B$82,C267&gt;=$E$10,MOD(C267-$E$10,$E$9)=0),MIN(MAX(0,MAX(0,T267-$E$8)*Inputs!$B$81-U267),MAX(0,G267-I267)),0)</f>
        <v>0</v>
      </c>
      <c r="W267" s="8">
        <f t="shared" si="232"/>
        <v>180000</v>
      </c>
      <c r="X267" s="8">
        <f t="shared" si="233"/>
        <v>667674.5775</v>
      </c>
      <c r="Y267" s="8">
        <f t="shared" si="234"/>
        <v>847674.5775</v>
      </c>
      <c r="Z267" s="95">
        <f t="shared" si="235"/>
        <v>150000</v>
      </c>
    </row>
    <row r="268">
      <c r="A268" s="8">
        <f t="shared" si="236"/>
        <v>27</v>
      </c>
      <c r="B268" s="96" t="str">
        <f t="array" ref="B268">INDEX('Monthly Base'!$B$5:$B$67,A268+1)</f>
        <v>OPEN</v>
      </c>
      <c r="C268" s="96">
        <f t="array" ref="C268">INDEX('Monthly Base'!$C$5:$C$67,A268+1)</f>
        <v>25</v>
      </c>
      <c r="D268" s="95">
        <f t="array" ref="D268">INDEX('Monthly Base'!$O$5:$O$67,A268+1)</f>
        <v>55666.52542</v>
      </c>
      <c r="E268" s="95">
        <f t="array" ref="E268">INDEX('Monthly Base'!$Y$5:$Y$67,A268+1)</f>
        <v>0</v>
      </c>
      <c r="F268" s="95">
        <f t="shared" si="237"/>
        <v>150000</v>
      </c>
      <c r="G268" s="8">
        <f t="shared" ref="G268:H268" si="266">W267</f>
        <v>180000</v>
      </c>
      <c r="H268" s="8">
        <f t="shared" si="266"/>
        <v>667674.5775</v>
      </c>
      <c r="I268" s="95">
        <f>IF(OR(A268&lt;Inputs!$B$15,G268&lt;=0),0,MIN(Financing!$B$10,G268))</f>
        <v>4000</v>
      </c>
      <c r="J268" s="8">
        <f>IF(OR(A268&lt;Inputs!$B$15,H268&lt;=0),0,H268*Inputs!$B$13/12)</f>
        <v>2642.878536</v>
      </c>
      <c r="K268" s="95">
        <f>IF(OR(A268&lt;Inputs!$B$15,H268&lt;=0),0,MIN(Financing!$C$10,H268+J268))</f>
        <v>16881.22078</v>
      </c>
      <c r="L268" s="95">
        <f t="shared" si="228"/>
        <v>20881.22078</v>
      </c>
      <c r="M268" s="8">
        <f t="shared" si="239"/>
        <v>0</v>
      </c>
      <c r="N268" s="8">
        <f t="shared" si="240"/>
        <v>5000</v>
      </c>
      <c r="O268" s="8">
        <f t="shared" si="241"/>
        <v>5000</v>
      </c>
      <c r="P268" s="8">
        <f t="shared" si="229"/>
        <v>12000</v>
      </c>
      <c r="Q268" s="95">
        <f>D268-J268-IF(C268=0,0,Inputs!$B$18)-P268</f>
        <v>34210.64689</v>
      </c>
      <c r="R268" s="8">
        <f>MAX(0,Q268-M268)*Inputs!$B$17</f>
        <v>7868.448784</v>
      </c>
      <c r="S268" s="8">
        <f t="shared" si="230"/>
        <v>0</v>
      </c>
      <c r="T268" s="95">
        <f t="shared" si="231"/>
        <v>164916.8559</v>
      </c>
      <c r="U268" s="8">
        <f>IF(AND(Inputs!$B$79=1,B268="OPEN",A268&gt;=Inputs!$B$82,C268&gt;=$E$10,MOD(C268-$E$10,$E$9)=0),MIN(MAX(0,T268-$E$8)*Inputs!$B$81,MAX(0,H268+J268-K268)),0)</f>
        <v>0</v>
      </c>
      <c r="V268" s="8">
        <f>IF(AND(Inputs!$B$79=1,B268="OPEN",A268&gt;=Inputs!$B$82,C268&gt;=$E$10,MOD(C268-$E$10,$E$9)=0),MIN(MAX(0,MAX(0,T268-$E$8)*Inputs!$B$81-U268),MAX(0,G268-I268)),0)</f>
        <v>0</v>
      </c>
      <c r="W268" s="8">
        <f t="shared" si="232"/>
        <v>176000</v>
      </c>
      <c r="X268" s="8">
        <f t="shared" si="233"/>
        <v>653436.2352</v>
      </c>
      <c r="Y268" s="8">
        <f t="shared" si="234"/>
        <v>829436.2352</v>
      </c>
      <c r="Z268" s="95">
        <f t="shared" si="235"/>
        <v>164916.8559</v>
      </c>
    </row>
    <row r="269">
      <c r="A269" s="8">
        <f t="shared" si="236"/>
        <v>28</v>
      </c>
      <c r="B269" s="96" t="str">
        <f t="array" ref="B269">INDEX('Monthly Base'!$B$5:$B$67,A269+1)</f>
        <v>OPEN</v>
      </c>
      <c r="C269" s="96">
        <f t="array" ref="C269">INDEX('Monthly Base'!$C$5:$C$67,A269+1)</f>
        <v>26</v>
      </c>
      <c r="D269" s="95">
        <f t="array" ref="D269">INDEX('Monthly Base'!$O$5:$O$67,A269+1)</f>
        <v>57724.55085</v>
      </c>
      <c r="E269" s="95">
        <f t="array" ref="E269">INDEX('Monthly Base'!$Y$5:$Y$67,A269+1)</f>
        <v>0</v>
      </c>
      <c r="F269" s="95">
        <f t="shared" si="237"/>
        <v>164916.8559</v>
      </c>
      <c r="G269" s="8">
        <f t="shared" ref="G269:H269" si="267">W268</f>
        <v>176000</v>
      </c>
      <c r="H269" s="8">
        <f t="shared" si="267"/>
        <v>653436.2352</v>
      </c>
      <c r="I269" s="95">
        <f>IF(OR(A269&lt;Inputs!$B$15,G269&lt;=0),0,MIN(Financing!$B$10,G269))</f>
        <v>4000</v>
      </c>
      <c r="J269" s="8">
        <f>IF(OR(A269&lt;Inputs!$B$15,H269&lt;=0),0,H269*Inputs!$B$13/12)</f>
        <v>2586.518431</v>
      </c>
      <c r="K269" s="95">
        <f>IF(OR(A269&lt;Inputs!$B$15,H269&lt;=0),0,MIN(Financing!$C$10,H269+J269))</f>
        <v>16881.22078</v>
      </c>
      <c r="L269" s="95">
        <f t="shared" si="228"/>
        <v>20881.22078</v>
      </c>
      <c r="M269" s="8">
        <f t="shared" si="239"/>
        <v>0</v>
      </c>
      <c r="N269" s="8">
        <f t="shared" si="240"/>
        <v>5000</v>
      </c>
      <c r="O269" s="8">
        <f t="shared" si="241"/>
        <v>5000</v>
      </c>
      <c r="P269" s="8">
        <f t="shared" si="229"/>
        <v>12000</v>
      </c>
      <c r="Q269" s="95">
        <f>D269-J269-IF(C269=0,0,Inputs!$B$18)-P269</f>
        <v>36325.03242</v>
      </c>
      <c r="R269" s="8">
        <f>MAX(0,Q269-M269)*Inputs!$B$17</f>
        <v>8354.757456</v>
      </c>
      <c r="S269" s="8">
        <f t="shared" si="230"/>
        <v>0</v>
      </c>
      <c r="T269" s="95">
        <f t="shared" si="231"/>
        <v>181405.4285</v>
      </c>
      <c r="U269" s="8">
        <f>IF(AND(Inputs!$B$79=1,B269="OPEN",A269&gt;=Inputs!$B$82,C269&gt;=$E$10,MOD(C269-$E$10,$E$9)=0),MIN(MAX(0,T269-$E$8)*Inputs!$B$81,MAX(0,H269+J269-K269)),0)</f>
        <v>0</v>
      </c>
      <c r="V269" s="8">
        <f>IF(AND(Inputs!$B$79=1,B269="OPEN",A269&gt;=Inputs!$B$82,C269&gt;=$E$10,MOD(C269-$E$10,$E$9)=0),MIN(MAX(0,MAX(0,T269-$E$8)*Inputs!$B$81-U269),MAX(0,G269-I269)),0)</f>
        <v>0</v>
      </c>
      <c r="W269" s="8">
        <f t="shared" si="232"/>
        <v>172000</v>
      </c>
      <c r="X269" s="8">
        <f t="shared" si="233"/>
        <v>639141.5329</v>
      </c>
      <c r="Y269" s="8">
        <f t="shared" si="234"/>
        <v>811141.5329</v>
      </c>
      <c r="Z269" s="95">
        <f t="shared" si="235"/>
        <v>181405.4285</v>
      </c>
    </row>
    <row r="270">
      <c r="A270" s="8">
        <f t="shared" si="236"/>
        <v>29</v>
      </c>
      <c r="B270" s="96" t="str">
        <f t="array" ref="B270">INDEX('Monthly Base'!$B$5:$B$67,A270+1)</f>
        <v>OPEN</v>
      </c>
      <c r="C270" s="96">
        <f t="array" ref="C270">INDEX('Monthly Base'!$C$5:$C$67,A270+1)</f>
        <v>27</v>
      </c>
      <c r="D270" s="95">
        <f t="array" ref="D270">INDEX('Monthly Base'!$O$5:$O$67,A270+1)</f>
        <v>59595.48305</v>
      </c>
      <c r="E270" s="95">
        <f t="array" ref="E270">INDEX('Monthly Base'!$Y$5:$Y$67,A270+1)</f>
        <v>0</v>
      </c>
      <c r="F270" s="95">
        <f t="shared" si="237"/>
        <v>181405.4285</v>
      </c>
      <c r="G270" s="8">
        <f t="shared" ref="G270:H270" si="268">W269</f>
        <v>172000</v>
      </c>
      <c r="H270" s="8">
        <f t="shared" si="268"/>
        <v>639141.5329</v>
      </c>
      <c r="I270" s="95">
        <f>IF(OR(A270&lt;Inputs!$B$15,G270&lt;=0),0,MIN(Financing!$B$10,G270))</f>
        <v>4000</v>
      </c>
      <c r="J270" s="8">
        <f>IF(OR(A270&lt;Inputs!$B$15,H270&lt;=0),0,H270*Inputs!$B$13/12)</f>
        <v>2529.935234</v>
      </c>
      <c r="K270" s="95">
        <f>IF(OR(A270&lt;Inputs!$B$15,H270&lt;=0),0,MIN(Financing!$C$10,H270+J270))</f>
        <v>16881.22078</v>
      </c>
      <c r="L270" s="95">
        <f t="shared" si="228"/>
        <v>20881.22078</v>
      </c>
      <c r="M270" s="8">
        <f t="shared" si="239"/>
        <v>0</v>
      </c>
      <c r="N270" s="8">
        <f t="shared" si="240"/>
        <v>5000</v>
      </c>
      <c r="O270" s="8">
        <f t="shared" si="241"/>
        <v>5000</v>
      </c>
      <c r="P270" s="8">
        <f t="shared" si="229"/>
        <v>12000</v>
      </c>
      <c r="Q270" s="95">
        <f>D270-J270-IF(C270=0,0,Inputs!$B$18)-P270</f>
        <v>38252.54782</v>
      </c>
      <c r="R270" s="8">
        <f>MAX(0,Q270-M270)*Inputs!$B$17</f>
        <v>8798.085998</v>
      </c>
      <c r="S270" s="8">
        <f t="shared" si="230"/>
        <v>0</v>
      </c>
      <c r="T270" s="95">
        <f t="shared" si="231"/>
        <v>199321.6047</v>
      </c>
      <c r="U270" s="8">
        <f>IF(AND(Inputs!$B$79=1,B270="OPEN",A270&gt;=Inputs!$B$82,C270&gt;=$E$10,MOD(C270-$E$10,$E$9)=0),MIN(MAX(0,T270-$E$8)*Inputs!$B$81,MAX(0,H270+J270-K270)),0)</f>
        <v>0</v>
      </c>
      <c r="V270" s="8">
        <f>IF(AND(Inputs!$B$79=1,B270="OPEN",A270&gt;=Inputs!$B$82,C270&gt;=$E$10,MOD(C270-$E$10,$E$9)=0),MIN(MAX(0,MAX(0,T270-$E$8)*Inputs!$B$81-U270),MAX(0,G270-I270)),0)</f>
        <v>0</v>
      </c>
      <c r="W270" s="8">
        <f t="shared" si="232"/>
        <v>168000</v>
      </c>
      <c r="X270" s="8">
        <f t="shared" si="233"/>
        <v>624790.2474</v>
      </c>
      <c r="Y270" s="8">
        <f t="shared" si="234"/>
        <v>792790.2474</v>
      </c>
      <c r="Z270" s="95">
        <f t="shared" si="235"/>
        <v>199321.6047</v>
      </c>
    </row>
    <row r="271">
      <c r="A271" s="8">
        <f t="shared" si="236"/>
        <v>30</v>
      </c>
      <c r="B271" s="96" t="str">
        <f t="array" ref="B271">INDEX('Monthly Base'!$B$5:$B$67,A271+1)</f>
        <v>OPEN</v>
      </c>
      <c r="C271" s="96">
        <f t="array" ref="C271">INDEX('Monthly Base'!$C$5:$C$67,A271+1)</f>
        <v>28</v>
      </c>
      <c r="D271" s="95">
        <f t="array" ref="D271">INDEX('Monthly Base'!$O$5:$O$67,A271+1)</f>
        <v>61653.50847</v>
      </c>
      <c r="E271" s="95">
        <f t="array" ref="E271">INDEX('Monthly Base'!$Y$5:$Y$67,A271+1)</f>
        <v>0</v>
      </c>
      <c r="F271" s="95">
        <f t="shared" si="237"/>
        <v>199321.6047</v>
      </c>
      <c r="G271" s="8">
        <f t="shared" ref="G271:H271" si="269">W270</f>
        <v>168000</v>
      </c>
      <c r="H271" s="8">
        <f t="shared" si="269"/>
        <v>624790.2474</v>
      </c>
      <c r="I271" s="95">
        <f>IF(OR(A271&lt;Inputs!$B$15,G271&lt;=0),0,MIN(Financing!$B$10,G271))</f>
        <v>4000</v>
      </c>
      <c r="J271" s="8">
        <f>IF(OR(A271&lt;Inputs!$B$15,H271&lt;=0),0,H271*Inputs!$B$13/12)</f>
        <v>2473.128062</v>
      </c>
      <c r="K271" s="95">
        <f>IF(OR(A271&lt;Inputs!$B$15,H271&lt;=0),0,MIN(Financing!$C$10,H271+J271))</f>
        <v>16881.22078</v>
      </c>
      <c r="L271" s="95">
        <f t="shared" si="228"/>
        <v>20881.22078</v>
      </c>
      <c r="M271" s="8">
        <f t="shared" si="239"/>
        <v>0</v>
      </c>
      <c r="N271" s="8">
        <f t="shared" si="240"/>
        <v>5000</v>
      </c>
      <c r="O271" s="8">
        <f t="shared" si="241"/>
        <v>5000</v>
      </c>
      <c r="P271" s="8">
        <f t="shared" si="229"/>
        <v>12000</v>
      </c>
      <c r="Q271" s="95">
        <f>D271-J271-IF(C271=0,0,Inputs!$B$18)-P271</f>
        <v>40367.38041</v>
      </c>
      <c r="R271" s="8">
        <f>MAX(0,Q271-M271)*Inputs!$B$17</f>
        <v>9284.497495</v>
      </c>
      <c r="S271" s="8">
        <f t="shared" si="230"/>
        <v>0</v>
      </c>
      <c r="T271" s="95">
        <f t="shared" si="231"/>
        <v>218809.3949</v>
      </c>
      <c r="U271" s="8">
        <f>IF(AND(Inputs!$B$79=1,B271="OPEN",A271&gt;=Inputs!$B$82,C271&gt;=$E$10,MOD(C271-$E$10,$E$9)=0),MIN(MAX(0,T271-$E$8)*Inputs!$B$81,MAX(0,H271+J271-K271)),0)</f>
        <v>0</v>
      </c>
      <c r="V271" s="8">
        <f>IF(AND(Inputs!$B$79=1,B271="OPEN",A271&gt;=Inputs!$B$82,C271&gt;=$E$10,MOD(C271-$E$10,$E$9)=0),MIN(MAX(0,MAX(0,T271-$E$8)*Inputs!$B$81-U271),MAX(0,G271-I271)),0)</f>
        <v>0</v>
      </c>
      <c r="W271" s="8">
        <f t="shared" si="232"/>
        <v>164000</v>
      </c>
      <c r="X271" s="8">
        <f t="shared" si="233"/>
        <v>610382.1546</v>
      </c>
      <c r="Y271" s="8">
        <f t="shared" si="234"/>
        <v>774382.1546</v>
      </c>
      <c r="Z271" s="95">
        <f t="shared" si="235"/>
        <v>218809.3949</v>
      </c>
    </row>
    <row r="272">
      <c r="A272" s="8">
        <f t="shared" si="236"/>
        <v>31</v>
      </c>
      <c r="B272" s="96" t="str">
        <f t="array" ref="B272">INDEX('Monthly Base'!$B$5:$B$67,A272+1)</f>
        <v>OPEN</v>
      </c>
      <c r="C272" s="96">
        <f t="array" ref="C272">INDEX('Monthly Base'!$C$5:$C$67,A272+1)</f>
        <v>29</v>
      </c>
      <c r="D272" s="95">
        <f t="array" ref="D272">INDEX('Monthly Base'!$O$5:$O$67,A272+1)</f>
        <v>63524.44068</v>
      </c>
      <c r="E272" s="95">
        <f t="array" ref="E272">INDEX('Monthly Base'!$Y$5:$Y$67,A272+1)</f>
        <v>0</v>
      </c>
      <c r="F272" s="95">
        <f t="shared" si="237"/>
        <v>218809.3949</v>
      </c>
      <c r="G272" s="8">
        <f t="shared" ref="G272:H272" si="270">W271</f>
        <v>164000</v>
      </c>
      <c r="H272" s="8">
        <f t="shared" si="270"/>
        <v>610382.1546</v>
      </c>
      <c r="I272" s="95">
        <f>IF(OR(A272&lt;Inputs!$B$15,G272&lt;=0),0,MIN(Financing!$B$10,G272))</f>
        <v>4000</v>
      </c>
      <c r="J272" s="8">
        <f>IF(OR(A272&lt;Inputs!$B$15,H272&lt;=0),0,H272*Inputs!$B$13/12)</f>
        <v>2416.096029</v>
      </c>
      <c r="K272" s="95">
        <f>IF(OR(A272&lt;Inputs!$B$15,H272&lt;=0),0,MIN(Financing!$C$10,H272+J272))</f>
        <v>16881.22078</v>
      </c>
      <c r="L272" s="95">
        <f t="shared" si="228"/>
        <v>20881.22078</v>
      </c>
      <c r="M272" s="8">
        <f t="shared" si="239"/>
        <v>0</v>
      </c>
      <c r="N272" s="8">
        <f t="shared" si="240"/>
        <v>5000</v>
      </c>
      <c r="O272" s="8">
        <f t="shared" si="241"/>
        <v>5000</v>
      </c>
      <c r="P272" s="8">
        <f t="shared" si="229"/>
        <v>12000</v>
      </c>
      <c r="Q272" s="95">
        <f>D272-J272-IF(C272=0,0,Inputs!$B$18)-P272</f>
        <v>42295.34465</v>
      </c>
      <c r="R272" s="8">
        <f>MAX(0,Q272-M272)*Inputs!$B$17</f>
        <v>9727.929269</v>
      </c>
      <c r="S272" s="8">
        <f t="shared" si="230"/>
        <v>0</v>
      </c>
      <c r="T272" s="95">
        <f t="shared" si="231"/>
        <v>239724.6856</v>
      </c>
      <c r="U272" s="8">
        <f>IF(AND(Inputs!$B$79=1,B272="OPEN",A272&gt;=Inputs!$B$82,C272&gt;=$E$10,MOD(C272-$E$10,$E$9)=0),MIN(MAX(0,T272-$E$8)*Inputs!$B$81,MAX(0,H272+J272-K272)),0)</f>
        <v>0</v>
      </c>
      <c r="V272" s="8">
        <f>IF(AND(Inputs!$B$79=1,B272="OPEN",A272&gt;=Inputs!$B$82,C272&gt;=$E$10,MOD(C272-$E$10,$E$9)=0),MIN(MAX(0,MAX(0,T272-$E$8)*Inputs!$B$81-U272),MAX(0,G272-I272)),0)</f>
        <v>0</v>
      </c>
      <c r="W272" s="8">
        <f t="shared" si="232"/>
        <v>160000</v>
      </c>
      <c r="X272" s="8">
        <f t="shared" si="233"/>
        <v>595917.0299</v>
      </c>
      <c r="Y272" s="8">
        <f t="shared" si="234"/>
        <v>755917.0299</v>
      </c>
      <c r="Z272" s="95">
        <f t="shared" si="235"/>
        <v>239724.6856</v>
      </c>
    </row>
    <row r="273">
      <c r="A273" s="8">
        <f t="shared" si="236"/>
        <v>32</v>
      </c>
      <c r="B273" s="96" t="str">
        <f t="array" ref="B273">INDEX('Monthly Base'!$B$5:$B$67,A273+1)</f>
        <v>OPEN</v>
      </c>
      <c r="C273" s="96">
        <f t="array" ref="C273">INDEX('Monthly Base'!$C$5:$C$67,A273+1)</f>
        <v>30</v>
      </c>
      <c r="D273" s="95">
        <f t="array" ref="D273">INDEX('Monthly Base'!$O$5:$O$67,A273+1)</f>
        <v>65582.4661</v>
      </c>
      <c r="E273" s="95">
        <f t="array" ref="E273">INDEX('Monthly Base'!$Y$5:$Y$67,A273+1)</f>
        <v>0</v>
      </c>
      <c r="F273" s="95">
        <f t="shared" si="237"/>
        <v>239724.6856</v>
      </c>
      <c r="G273" s="8">
        <f t="shared" ref="G273:H273" si="271">W272</f>
        <v>160000</v>
      </c>
      <c r="H273" s="8">
        <f t="shared" si="271"/>
        <v>595917.0299</v>
      </c>
      <c r="I273" s="95">
        <f>IF(OR(A273&lt;Inputs!$B$15,G273&lt;=0),0,MIN(Financing!$B$10,G273))</f>
        <v>4000</v>
      </c>
      <c r="J273" s="8">
        <f>IF(OR(A273&lt;Inputs!$B$15,H273&lt;=0),0,H273*Inputs!$B$13/12)</f>
        <v>2358.838243</v>
      </c>
      <c r="K273" s="95">
        <f>IF(OR(A273&lt;Inputs!$B$15,H273&lt;=0),0,MIN(Financing!$C$10,H273+J273))</f>
        <v>16881.22078</v>
      </c>
      <c r="L273" s="95">
        <f t="shared" si="228"/>
        <v>20881.22078</v>
      </c>
      <c r="M273" s="8">
        <f t="shared" si="239"/>
        <v>0</v>
      </c>
      <c r="N273" s="8">
        <f t="shared" si="240"/>
        <v>5000</v>
      </c>
      <c r="O273" s="8">
        <f t="shared" si="241"/>
        <v>5000</v>
      </c>
      <c r="P273" s="8">
        <f t="shared" si="229"/>
        <v>12000</v>
      </c>
      <c r="Q273" s="95">
        <f>D273-J273-IF(C273=0,0,Inputs!$B$18)-P273</f>
        <v>44410.62786</v>
      </c>
      <c r="R273" s="8">
        <f>MAX(0,Q273-M273)*Inputs!$B$17</f>
        <v>10214.44441</v>
      </c>
      <c r="S273" s="8">
        <f t="shared" si="230"/>
        <v>0</v>
      </c>
      <c r="T273" s="95">
        <f t="shared" si="231"/>
        <v>262211.4865</v>
      </c>
      <c r="U273" s="8">
        <f>IF(AND(Inputs!$B$79=1,B273="OPEN",A273&gt;=Inputs!$B$82,C273&gt;=$E$10,MOD(C273-$E$10,$E$9)=0),MIN(MAX(0,T273-$E$8)*Inputs!$B$81,MAX(0,H273+J273-K273)),0)</f>
        <v>112211.4865</v>
      </c>
      <c r="V273" s="8">
        <f>IF(AND(Inputs!$B$79=1,B273="OPEN",A273&gt;=Inputs!$B$82,C273&gt;=$E$10,MOD(C273-$E$10,$E$9)=0),MIN(MAX(0,MAX(0,T273-$E$8)*Inputs!$B$81-U273),MAX(0,G273-I273)),0)</f>
        <v>0</v>
      </c>
      <c r="W273" s="8">
        <f t="shared" si="232"/>
        <v>156000</v>
      </c>
      <c r="X273" s="8">
        <f t="shared" si="233"/>
        <v>469183.1609</v>
      </c>
      <c r="Y273" s="8">
        <f t="shared" si="234"/>
        <v>625183.1609</v>
      </c>
      <c r="Z273" s="95">
        <f t="shared" si="235"/>
        <v>150000</v>
      </c>
    </row>
    <row r="274">
      <c r="A274" s="8">
        <f t="shared" si="236"/>
        <v>33</v>
      </c>
      <c r="B274" s="96" t="str">
        <f t="array" ref="B274">INDEX('Monthly Base'!$B$5:$B$67,A274+1)</f>
        <v>OPEN</v>
      </c>
      <c r="C274" s="96">
        <f t="array" ref="C274">INDEX('Monthly Base'!$C$5:$C$67,A274+1)</f>
        <v>31</v>
      </c>
      <c r="D274" s="95">
        <f t="array" ref="D274">INDEX('Monthly Base'!$O$5:$O$67,A274+1)</f>
        <v>67453.39831</v>
      </c>
      <c r="E274" s="95">
        <f t="array" ref="E274">INDEX('Monthly Base'!$Y$5:$Y$67,A274+1)</f>
        <v>0</v>
      </c>
      <c r="F274" s="95">
        <f t="shared" si="237"/>
        <v>150000</v>
      </c>
      <c r="G274" s="8">
        <f t="shared" ref="G274:H274" si="272">W273</f>
        <v>156000</v>
      </c>
      <c r="H274" s="8">
        <f t="shared" si="272"/>
        <v>469183.1609</v>
      </c>
      <c r="I274" s="95">
        <f>IF(OR(A274&lt;Inputs!$B$15,G274&lt;=0),0,MIN(Financing!$B$10,G274))</f>
        <v>4000</v>
      </c>
      <c r="J274" s="8">
        <f>IF(OR(A274&lt;Inputs!$B$15,H274&lt;=0),0,H274*Inputs!$B$13/12)</f>
        <v>1857.183345</v>
      </c>
      <c r="K274" s="95">
        <f>IF(OR(A274&lt;Inputs!$B$15,H274&lt;=0),0,MIN(Financing!$C$10,H274+J274))</f>
        <v>16881.22078</v>
      </c>
      <c r="L274" s="95">
        <f t="shared" si="228"/>
        <v>20881.22078</v>
      </c>
      <c r="M274" s="8">
        <f t="shared" si="239"/>
        <v>0</v>
      </c>
      <c r="N274" s="8">
        <f t="shared" si="240"/>
        <v>5000</v>
      </c>
      <c r="O274" s="8">
        <f t="shared" si="241"/>
        <v>5000</v>
      </c>
      <c r="P274" s="8">
        <f t="shared" si="229"/>
        <v>12000</v>
      </c>
      <c r="Q274" s="95">
        <f>D274-J274-IF(C274=0,0,Inputs!$B$18)-P274</f>
        <v>46783.21496</v>
      </c>
      <c r="R274" s="8">
        <f>MAX(0,Q274-M274)*Inputs!$B$17</f>
        <v>10760.13944</v>
      </c>
      <c r="S274" s="8">
        <f t="shared" si="230"/>
        <v>0</v>
      </c>
      <c r="T274" s="95">
        <f t="shared" si="231"/>
        <v>173812.0381</v>
      </c>
      <c r="U274" s="8">
        <f>IF(AND(Inputs!$B$79=1,B274="OPEN",A274&gt;=Inputs!$B$82,C274&gt;=$E$10,MOD(C274-$E$10,$E$9)=0),MIN(MAX(0,T274-$E$8)*Inputs!$B$81,MAX(0,H274+J274-K274)),0)</f>
        <v>0</v>
      </c>
      <c r="V274" s="8">
        <f>IF(AND(Inputs!$B$79=1,B274="OPEN",A274&gt;=Inputs!$B$82,C274&gt;=$E$10,MOD(C274-$E$10,$E$9)=0),MIN(MAX(0,MAX(0,T274-$E$8)*Inputs!$B$81-U274),MAX(0,G274-I274)),0)</f>
        <v>0</v>
      </c>
      <c r="W274" s="8">
        <f t="shared" si="232"/>
        <v>152000</v>
      </c>
      <c r="X274" s="8">
        <f t="shared" si="233"/>
        <v>454159.1234</v>
      </c>
      <c r="Y274" s="8">
        <f t="shared" si="234"/>
        <v>606159.1234</v>
      </c>
      <c r="Z274" s="95">
        <f t="shared" si="235"/>
        <v>173812.0381</v>
      </c>
    </row>
    <row r="275">
      <c r="A275" s="8">
        <f t="shared" si="236"/>
        <v>34</v>
      </c>
      <c r="B275" s="96" t="str">
        <f t="array" ref="B275">INDEX('Monthly Base'!$B$5:$B$67,A275+1)</f>
        <v>OPEN</v>
      </c>
      <c r="C275" s="96">
        <f t="array" ref="C275">INDEX('Monthly Base'!$C$5:$C$67,A275+1)</f>
        <v>32</v>
      </c>
      <c r="D275" s="95">
        <f t="array" ref="D275">INDEX('Monthly Base'!$O$5:$O$67,A275+1)</f>
        <v>69324.33051</v>
      </c>
      <c r="E275" s="95">
        <f t="array" ref="E275">INDEX('Monthly Base'!$Y$5:$Y$67,A275+1)</f>
        <v>0</v>
      </c>
      <c r="F275" s="95">
        <f t="shared" si="237"/>
        <v>173812.0381</v>
      </c>
      <c r="G275" s="8">
        <f t="shared" ref="G275:H275" si="273">W274</f>
        <v>152000</v>
      </c>
      <c r="H275" s="8">
        <f t="shared" si="273"/>
        <v>454159.1234</v>
      </c>
      <c r="I275" s="95">
        <f>IF(OR(A275&lt;Inputs!$B$15,G275&lt;=0),0,MIN(Financing!$B$10,G275))</f>
        <v>4000</v>
      </c>
      <c r="J275" s="8">
        <f>IF(OR(A275&lt;Inputs!$B$15,H275&lt;=0),0,H275*Inputs!$B$13/12)</f>
        <v>1797.713197</v>
      </c>
      <c r="K275" s="95">
        <f>IF(OR(A275&lt;Inputs!$B$15,H275&lt;=0),0,MIN(Financing!$C$10,H275+J275))</f>
        <v>16881.22078</v>
      </c>
      <c r="L275" s="95">
        <f t="shared" si="228"/>
        <v>20881.22078</v>
      </c>
      <c r="M275" s="8">
        <f t="shared" si="239"/>
        <v>0</v>
      </c>
      <c r="N275" s="8">
        <f t="shared" si="240"/>
        <v>5000</v>
      </c>
      <c r="O275" s="8">
        <f t="shared" si="241"/>
        <v>5000</v>
      </c>
      <c r="P275" s="8">
        <f t="shared" si="229"/>
        <v>12000</v>
      </c>
      <c r="Q275" s="95">
        <f>D275-J275-IF(C275=0,0,Inputs!$B$18)-P275</f>
        <v>48713.61731</v>
      </c>
      <c r="R275" s="8">
        <f>MAX(0,Q275-M275)*Inputs!$B$17</f>
        <v>11204.13198</v>
      </c>
      <c r="S275" s="8">
        <f t="shared" si="230"/>
        <v>0</v>
      </c>
      <c r="T275" s="95">
        <f t="shared" si="231"/>
        <v>199051.0158</v>
      </c>
      <c r="U275" s="8">
        <f>IF(AND(Inputs!$B$79=1,B275="OPEN",A275&gt;=Inputs!$B$82,C275&gt;=$E$10,MOD(C275-$E$10,$E$9)=0),MIN(MAX(0,T275-$E$8)*Inputs!$B$81,MAX(0,H275+J275-K275)),0)</f>
        <v>0</v>
      </c>
      <c r="V275" s="8">
        <f>IF(AND(Inputs!$B$79=1,B275="OPEN",A275&gt;=Inputs!$B$82,C275&gt;=$E$10,MOD(C275-$E$10,$E$9)=0),MIN(MAX(0,MAX(0,T275-$E$8)*Inputs!$B$81-U275),MAX(0,G275-I275)),0)</f>
        <v>0</v>
      </c>
      <c r="W275" s="8">
        <f t="shared" si="232"/>
        <v>148000</v>
      </c>
      <c r="X275" s="8">
        <f t="shared" si="233"/>
        <v>439075.6158</v>
      </c>
      <c r="Y275" s="8">
        <f t="shared" si="234"/>
        <v>587075.6158</v>
      </c>
      <c r="Z275" s="95">
        <f t="shared" si="235"/>
        <v>199051.0158</v>
      </c>
    </row>
    <row r="276">
      <c r="A276" s="8">
        <f t="shared" si="236"/>
        <v>35</v>
      </c>
      <c r="B276" s="96" t="str">
        <f t="array" ref="B276">INDEX('Monthly Base'!$B$5:$B$67,A276+1)</f>
        <v>OPEN</v>
      </c>
      <c r="C276" s="96">
        <f t="array" ref="C276">INDEX('Monthly Base'!$C$5:$C$67,A276+1)</f>
        <v>33</v>
      </c>
      <c r="D276" s="95">
        <f t="array" ref="D276">INDEX('Monthly Base'!$O$5:$O$67,A276+1)</f>
        <v>71382.35593</v>
      </c>
      <c r="E276" s="95">
        <f t="array" ref="E276">INDEX('Monthly Base'!$Y$5:$Y$67,A276+1)</f>
        <v>0</v>
      </c>
      <c r="F276" s="95">
        <f t="shared" si="237"/>
        <v>199051.0158</v>
      </c>
      <c r="G276" s="8">
        <f t="shared" ref="G276:H276" si="274">W275</f>
        <v>148000</v>
      </c>
      <c r="H276" s="8">
        <f t="shared" si="274"/>
        <v>439075.6158</v>
      </c>
      <c r="I276" s="95">
        <f>IF(OR(A276&lt;Inputs!$B$15,G276&lt;=0),0,MIN(Financing!$B$10,G276))</f>
        <v>4000</v>
      </c>
      <c r="J276" s="8">
        <f>IF(OR(A276&lt;Inputs!$B$15,H276&lt;=0),0,H276*Inputs!$B$13/12)</f>
        <v>1738.007646</v>
      </c>
      <c r="K276" s="95">
        <f>IF(OR(A276&lt;Inputs!$B$15,H276&lt;=0),0,MIN(Financing!$C$10,H276+J276))</f>
        <v>16881.22078</v>
      </c>
      <c r="L276" s="95">
        <f t="shared" si="228"/>
        <v>20881.22078</v>
      </c>
      <c r="M276" s="8">
        <f t="shared" si="239"/>
        <v>0</v>
      </c>
      <c r="N276" s="8">
        <f t="shared" si="240"/>
        <v>5000</v>
      </c>
      <c r="O276" s="8">
        <f t="shared" si="241"/>
        <v>5000</v>
      </c>
      <c r="P276" s="8">
        <f t="shared" si="229"/>
        <v>12000</v>
      </c>
      <c r="Q276" s="95">
        <f>D276-J276-IF(C276=0,0,Inputs!$B$18)-P276</f>
        <v>50831.34829</v>
      </c>
      <c r="R276" s="8">
        <f>MAX(0,Q276-M276)*Inputs!$B$17</f>
        <v>11691.21011</v>
      </c>
      <c r="S276" s="8">
        <f t="shared" si="230"/>
        <v>0</v>
      </c>
      <c r="T276" s="95">
        <f t="shared" si="231"/>
        <v>225860.9409</v>
      </c>
      <c r="U276" s="8">
        <f>IF(AND(Inputs!$B$79=1,B276="OPEN",A276&gt;=Inputs!$B$82,C276&gt;=$E$10,MOD(C276-$E$10,$E$9)=0),MIN(MAX(0,T276-$E$8)*Inputs!$B$81,MAX(0,H276+J276-K276)),0)</f>
        <v>0</v>
      </c>
      <c r="V276" s="8">
        <f>IF(AND(Inputs!$B$79=1,B276="OPEN",A276&gt;=Inputs!$B$82,C276&gt;=$E$10,MOD(C276-$E$10,$E$9)=0),MIN(MAX(0,MAX(0,T276-$E$8)*Inputs!$B$81-U276),MAX(0,G276-I276)),0)</f>
        <v>0</v>
      </c>
      <c r="W276" s="8">
        <f t="shared" si="232"/>
        <v>144000</v>
      </c>
      <c r="X276" s="8">
        <f t="shared" si="233"/>
        <v>423932.4027</v>
      </c>
      <c r="Y276" s="8">
        <f t="shared" si="234"/>
        <v>567932.4027</v>
      </c>
      <c r="Z276" s="95">
        <f t="shared" si="235"/>
        <v>225860.9409</v>
      </c>
    </row>
    <row r="277">
      <c r="A277" s="8">
        <f t="shared" si="236"/>
        <v>36</v>
      </c>
      <c r="B277" s="96" t="str">
        <f t="array" ref="B277">INDEX('Monthly Base'!$B$5:$B$67,A277+1)</f>
        <v>OPEN</v>
      </c>
      <c r="C277" s="96">
        <f t="array" ref="C277">INDEX('Monthly Base'!$C$5:$C$67,A277+1)</f>
        <v>34</v>
      </c>
      <c r="D277" s="95">
        <f t="array" ref="D277">INDEX('Monthly Base'!$O$5:$O$67,A277+1)</f>
        <v>73253.28814</v>
      </c>
      <c r="E277" s="95">
        <f t="array" ref="E277">INDEX('Monthly Base'!$Y$5:$Y$67,A277+1)</f>
        <v>0</v>
      </c>
      <c r="F277" s="95">
        <f t="shared" si="237"/>
        <v>225860.9409</v>
      </c>
      <c r="G277" s="8">
        <f t="shared" ref="G277:H277" si="275">W276</f>
        <v>144000</v>
      </c>
      <c r="H277" s="8">
        <f t="shared" si="275"/>
        <v>423932.4027</v>
      </c>
      <c r="I277" s="95">
        <f>IF(OR(A277&lt;Inputs!$B$15,G277&lt;=0),0,MIN(Financing!$B$10,G277))</f>
        <v>4000</v>
      </c>
      <c r="J277" s="8">
        <f>IF(OR(A277&lt;Inputs!$B$15,H277&lt;=0),0,H277*Inputs!$B$13/12)</f>
        <v>1678.065761</v>
      </c>
      <c r="K277" s="95">
        <f>IF(OR(A277&lt;Inputs!$B$15,H277&lt;=0),0,MIN(Financing!$C$10,H277+J277))</f>
        <v>16881.22078</v>
      </c>
      <c r="L277" s="95">
        <f t="shared" si="228"/>
        <v>20881.22078</v>
      </c>
      <c r="M277" s="8">
        <f t="shared" si="239"/>
        <v>0</v>
      </c>
      <c r="N277" s="8">
        <f t="shared" si="240"/>
        <v>5000</v>
      </c>
      <c r="O277" s="8">
        <f t="shared" si="241"/>
        <v>5000</v>
      </c>
      <c r="P277" s="8">
        <f t="shared" si="229"/>
        <v>12000</v>
      </c>
      <c r="Q277" s="95">
        <f>D277-J277-IF(C277=0,0,Inputs!$B$18)-P277</f>
        <v>52762.22237</v>
      </c>
      <c r="R277" s="8">
        <f>MAX(0,Q277-M277)*Inputs!$B$17</f>
        <v>12135.31115</v>
      </c>
      <c r="S277" s="8">
        <f t="shared" si="230"/>
        <v>0</v>
      </c>
      <c r="T277" s="95">
        <f t="shared" si="231"/>
        <v>254097.6971</v>
      </c>
      <c r="U277" s="8">
        <f>IF(AND(Inputs!$B$79=1,B277="OPEN",A277&gt;=Inputs!$B$82,C277&gt;=$E$10,MOD(C277-$E$10,$E$9)=0),MIN(MAX(0,T277-$E$8)*Inputs!$B$81,MAX(0,H277+J277-K277)),0)</f>
        <v>0</v>
      </c>
      <c r="V277" s="8">
        <f>IF(AND(Inputs!$B$79=1,B277="OPEN",A277&gt;=Inputs!$B$82,C277&gt;=$E$10,MOD(C277-$E$10,$E$9)=0),MIN(MAX(0,MAX(0,T277-$E$8)*Inputs!$B$81-U277),MAX(0,G277-I277)),0)</f>
        <v>0</v>
      </c>
      <c r="W277" s="8">
        <f t="shared" si="232"/>
        <v>140000</v>
      </c>
      <c r="X277" s="8">
        <f t="shared" si="233"/>
        <v>408729.2477</v>
      </c>
      <c r="Y277" s="8">
        <f t="shared" si="234"/>
        <v>548729.2477</v>
      </c>
      <c r="Z277" s="95">
        <f t="shared" si="235"/>
        <v>254097.6971</v>
      </c>
    </row>
    <row r="278">
      <c r="A278" s="8">
        <f t="shared" si="236"/>
        <v>37</v>
      </c>
      <c r="B278" s="96" t="str">
        <f t="array" ref="B278">INDEX('Monthly Base'!$B$5:$B$67,A278+1)</f>
        <v>OPEN</v>
      </c>
      <c r="C278" s="96">
        <f t="array" ref="C278">INDEX('Monthly Base'!$C$5:$C$67,A278+1)</f>
        <v>35</v>
      </c>
      <c r="D278" s="95">
        <f t="array" ref="D278">INDEX('Monthly Base'!$O$5:$O$67,A278+1)</f>
        <v>75311.31356</v>
      </c>
      <c r="E278" s="95">
        <f t="array" ref="E278">INDEX('Monthly Base'!$Y$5:$Y$67,A278+1)</f>
        <v>0</v>
      </c>
      <c r="F278" s="95">
        <f t="shared" si="237"/>
        <v>254097.6971</v>
      </c>
      <c r="G278" s="8">
        <f t="shared" ref="G278:H278" si="276">W277</f>
        <v>140000</v>
      </c>
      <c r="H278" s="8">
        <f t="shared" si="276"/>
        <v>408729.2477</v>
      </c>
      <c r="I278" s="95">
        <f>IF(OR(A278&lt;Inputs!$B$15,G278&lt;=0),0,MIN(Financing!$B$10,G278))</f>
        <v>4000</v>
      </c>
      <c r="J278" s="8">
        <f>IF(OR(A278&lt;Inputs!$B$15,H278&lt;=0),0,H278*Inputs!$B$13/12)</f>
        <v>1617.886605</v>
      </c>
      <c r="K278" s="95">
        <f>IF(OR(A278&lt;Inputs!$B$15,H278&lt;=0),0,MIN(Financing!$C$10,H278+J278))</f>
        <v>16881.22078</v>
      </c>
      <c r="L278" s="95">
        <f t="shared" si="228"/>
        <v>20881.22078</v>
      </c>
      <c r="M278" s="8">
        <f t="shared" si="239"/>
        <v>0</v>
      </c>
      <c r="N278" s="8">
        <f t="shared" si="240"/>
        <v>5000</v>
      </c>
      <c r="O278" s="8">
        <f t="shared" si="241"/>
        <v>5000</v>
      </c>
      <c r="P278" s="8">
        <f t="shared" si="229"/>
        <v>12000</v>
      </c>
      <c r="Q278" s="95">
        <f>D278-J278-IF(C278=0,0,Inputs!$B$18)-P278</f>
        <v>54880.42695</v>
      </c>
      <c r="R278" s="8">
        <f>MAX(0,Q278-M278)*Inputs!$B$17</f>
        <v>12622.4982</v>
      </c>
      <c r="S278" s="8">
        <f t="shared" si="230"/>
        <v>0</v>
      </c>
      <c r="T278" s="95">
        <f t="shared" si="231"/>
        <v>283905.2917</v>
      </c>
      <c r="U278" s="8">
        <f>IF(AND(Inputs!$B$79=1,B278="OPEN",A278&gt;=Inputs!$B$82,C278&gt;=$E$10,MOD(C278-$E$10,$E$9)=0),MIN(MAX(0,T278-$E$8)*Inputs!$B$81,MAX(0,H278+J278-K278)),0)</f>
        <v>0</v>
      </c>
      <c r="V278" s="8">
        <f>IF(AND(Inputs!$B$79=1,B278="OPEN",A278&gt;=Inputs!$B$82,C278&gt;=$E$10,MOD(C278-$E$10,$E$9)=0),MIN(MAX(0,MAX(0,T278-$E$8)*Inputs!$B$81-U278),MAX(0,G278-I278)),0)</f>
        <v>0</v>
      </c>
      <c r="W278" s="8">
        <f t="shared" si="232"/>
        <v>136000</v>
      </c>
      <c r="X278" s="8">
        <f t="shared" si="233"/>
        <v>393465.9135</v>
      </c>
      <c r="Y278" s="8">
        <f t="shared" si="234"/>
        <v>529465.9135</v>
      </c>
      <c r="Z278" s="95">
        <f t="shared" si="235"/>
        <v>283905.2917</v>
      </c>
    </row>
    <row r="279">
      <c r="A279" s="8">
        <f t="shared" si="236"/>
        <v>38</v>
      </c>
      <c r="B279" s="96" t="str">
        <f t="array" ref="B279">INDEX('Monthly Base'!$B$5:$B$67,A279+1)</f>
        <v>OPEN</v>
      </c>
      <c r="C279" s="96">
        <f t="array" ref="C279">INDEX('Monthly Base'!$C$5:$C$67,A279+1)</f>
        <v>36</v>
      </c>
      <c r="D279" s="95">
        <f t="array" ref="D279">INDEX('Monthly Base'!$O$5:$O$67,A279+1)</f>
        <v>77182.24576</v>
      </c>
      <c r="E279" s="95">
        <f t="array" ref="E279">INDEX('Monthly Base'!$Y$5:$Y$67,A279+1)</f>
        <v>0</v>
      </c>
      <c r="F279" s="95">
        <f t="shared" si="237"/>
        <v>283905.2917</v>
      </c>
      <c r="G279" s="8">
        <f t="shared" ref="G279:H279" si="277">W278</f>
        <v>136000</v>
      </c>
      <c r="H279" s="8">
        <f t="shared" si="277"/>
        <v>393465.9135</v>
      </c>
      <c r="I279" s="95">
        <f>IF(OR(A279&lt;Inputs!$B$15,G279&lt;=0),0,MIN(Financing!$B$10,G279))</f>
        <v>4000</v>
      </c>
      <c r="J279" s="8">
        <f>IF(OR(A279&lt;Inputs!$B$15,H279&lt;=0),0,H279*Inputs!$B$13/12)</f>
        <v>1557.469241</v>
      </c>
      <c r="K279" s="95">
        <f>IF(OR(A279&lt;Inputs!$B$15,H279&lt;=0),0,MIN(Financing!$C$10,H279+J279))</f>
        <v>16881.22078</v>
      </c>
      <c r="L279" s="95">
        <f t="shared" si="228"/>
        <v>20881.22078</v>
      </c>
      <c r="M279" s="8">
        <f t="shared" si="239"/>
        <v>0</v>
      </c>
      <c r="N279" s="8">
        <f t="shared" si="240"/>
        <v>5000</v>
      </c>
      <c r="O279" s="8">
        <f t="shared" si="241"/>
        <v>5000</v>
      </c>
      <c r="P279" s="8">
        <f t="shared" si="229"/>
        <v>12000</v>
      </c>
      <c r="Q279" s="95">
        <f>D279-J279-IF(C279=0,0,Inputs!$B$18)-P279</f>
        <v>56811.77652</v>
      </c>
      <c r="R279" s="8">
        <f>MAX(0,Q279-M279)*Inputs!$B$17</f>
        <v>13066.7086</v>
      </c>
      <c r="S279" s="8">
        <f t="shared" si="230"/>
        <v>0</v>
      </c>
      <c r="T279" s="95">
        <f t="shared" si="231"/>
        <v>315139.608</v>
      </c>
      <c r="U279" s="8">
        <f>IF(AND(Inputs!$B$79=1,B279="OPEN",A279&gt;=Inputs!$B$82,C279&gt;=$E$10,MOD(C279-$E$10,$E$9)=0),MIN(MAX(0,T279-$E$8)*Inputs!$B$81,MAX(0,H279+J279-K279)),0)</f>
        <v>165139.608</v>
      </c>
      <c r="V279" s="8">
        <f>IF(AND(Inputs!$B$79=1,B279="OPEN",A279&gt;=Inputs!$B$82,C279&gt;=$E$10,MOD(C279-$E$10,$E$9)=0),MIN(MAX(0,MAX(0,T279-$E$8)*Inputs!$B$81-U279),MAX(0,G279-I279)),0)</f>
        <v>0</v>
      </c>
      <c r="W279" s="8">
        <f t="shared" si="232"/>
        <v>132000</v>
      </c>
      <c r="X279" s="8">
        <f t="shared" si="233"/>
        <v>213002.5539</v>
      </c>
      <c r="Y279" s="8">
        <f t="shared" si="234"/>
        <v>345002.5539</v>
      </c>
      <c r="Z279" s="95">
        <f t="shared" si="235"/>
        <v>150000</v>
      </c>
    </row>
    <row r="280">
      <c r="A280" s="8">
        <f t="shared" si="236"/>
        <v>39</v>
      </c>
      <c r="B280" s="96" t="str">
        <f t="array" ref="B280">INDEX('Monthly Base'!$B$5:$B$67,A280+1)</f>
        <v>OPEN</v>
      </c>
      <c r="C280" s="96">
        <f t="array" ref="C280">INDEX('Monthly Base'!$C$5:$C$67,A280+1)</f>
        <v>37</v>
      </c>
      <c r="D280" s="95">
        <f t="array" ref="D280">INDEX('Monthly Base'!$O$5:$O$67,A280+1)</f>
        <v>78304.80508</v>
      </c>
      <c r="E280" s="95">
        <f t="array" ref="E280">INDEX('Monthly Base'!$Y$5:$Y$67,A280+1)</f>
        <v>0</v>
      </c>
      <c r="F280" s="95">
        <f t="shared" si="237"/>
        <v>150000</v>
      </c>
      <c r="G280" s="8">
        <f t="shared" ref="G280:H280" si="278">W279</f>
        <v>132000</v>
      </c>
      <c r="H280" s="8">
        <f t="shared" si="278"/>
        <v>213002.5539</v>
      </c>
      <c r="I280" s="95">
        <f>IF(OR(A280&lt;Inputs!$B$15,G280&lt;=0),0,MIN(Financing!$B$10,G280))</f>
        <v>4000</v>
      </c>
      <c r="J280" s="8">
        <f>IF(OR(A280&lt;Inputs!$B$15,H280&lt;=0),0,H280*Inputs!$B$13/12)</f>
        <v>843.1351093</v>
      </c>
      <c r="K280" s="95">
        <f>IF(OR(A280&lt;Inputs!$B$15,H280&lt;=0),0,MIN(Financing!$C$10,H280+J280))</f>
        <v>16881.22078</v>
      </c>
      <c r="L280" s="95">
        <f t="shared" si="228"/>
        <v>20881.22078</v>
      </c>
      <c r="M280" s="8">
        <f t="shared" si="239"/>
        <v>0</v>
      </c>
      <c r="N280" s="8">
        <f t="shared" si="240"/>
        <v>5000</v>
      </c>
      <c r="O280" s="8">
        <f t="shared" si="241"/>
        <v>5000</v>
      </c>
      <c r="P280" s="8">
        <f t="shared" si="229"/>
        <v>12000</v>
      </c>
      <c r="Q280" s="95">
        <f>D280-J280-IF(C280=0,0,Inputs!$B$18)-P280</f>
        <v>58648.66998</v>
      </c>
      <c r="R280" s="8">
        <f>MAX(0,Q280-M280)*Inputs!$B$17</f>
        <v>13489.19409</v>
      </c>
      <c r="S280" s="8">
        <f t="shared" si="230"/>
        <v>0</v>
      </c>
      <c r="T280" s="95">
        <f t="shared" si="231"/>
        <v>181934.3902</v>
      </c>
      <c r="U280" s="8">
        <f>IF(AND(Inputs!$B$79=1,B280="OPEN",A280&gt;=Inputs!$B$82,C280&gt;=$E$10,MOD(C280-$E$10,$E$9)=0),MIN(MAX(0,T280-$E$8)*Inputs!$B$81,MAX(0,H280+J280-K280)),0)</f>
        <v>0</v>
      </c>
      <c r="V280" s="8">
        <f>IF(AND(Inputs!$B$79=1,B280="OPEN",A280&gt;=Inputs!$B$82,C280&gt;=$E$10,MOD(C280-$E$10,$E$9)=0),MIN(MAX(0,MAX(0,T280-$E$8)*Inputs!$B$81-U280),MAX(0,G280-I280)),0)</f>
        <v>0</v>
      </c>
      <c r="W280" s="8">
        <f t="shared" si="232"/>
        <v>128000</v>
      </c>
      <c r="X280" s="8">
        <f t="shared" si="233"/>
        <v>196964.4683</v>
      </c>
      <c r="Y280" s="8">
        <f t="shared" si="234"/>
        <v>324964.4683</v>
      </c>
      <c r="Z280" s="95">
        <f t="shared" si="235"/>
        <v>181934.3902</v>
      </c>
    </row>
    <row r="281">
      <c r="A281" s="8">
        <f t="shared" si="236"/>
        <v>40</v>
      </c>
      <c r="B281" s="96" t="str">
        <f t="array" ref="B281">INDEX('Monthly Base'!$B$5:$B$67,A281+1)</f>
        <v>OPEN</v>
      </c>
      <c r="C281" s="96">
        <f t="array" ref="C281">INDEX('Monthly Base'!$C$5:$C$67,A281+1)</f>
        <v>38</v>
      </c>
      <c r="D281" s="95">
        <f t="array" ref="D281">INDEX('Monthly Base'!$O$5:$O$67,A281+1)</f>
        <v>79614.45763</v>
      </c>
      <c r="E281" s="95">
        <f t="array" ref="E281">INDEX('Monthly Base'!$Y$5:$Y$67,A281+1)</f>
        <v>0</v>
      </c>
      <c r="F281" s="95">
        <f t="shared" si="237"/>
        <v>181934.3902</v>
      </c>
      <c r="G281" s="8">
        <f t="shared" ref="G281:H281" si="279">W280</f>
        <v>128000</v>
      </c>
      <c r="H281" s="8">
        <f t="shared" si="279"/>
        <v>196964.4683</v>
      </c>
      <c r="I281" s="95">
        <f>IF(OR(A281&lt;Inputs!$B$15,G281&lt;=0),0,MIN(Financing!$B$10,G281))</f>
        <v>4000</v>
      </c>
      <c r="J281" s="8">
        <f>IF(OR(A281&lt;Inputs!$B$15,H281&lt;=0),0,H281*Inputs!$B$13/12)</f>
        <v>779.6510202</v>
      </c>
      <c r="K281" s="95">
        <f>IF(OR(A281&lt;Inputs!$B$15,H281&lt;=0),0,MIN(Financing!$C$10,H281+J281))</f>
        <v>16881.22078</v>
      </c>
      <c r="L281" s="95">
        <f t="shared" si="228"/>
        <v>20881.22078</v>
      </c>
      <c r="M281" s="8">
        <f t="shared" si="239"/>
        <v>0</v>
      </c>
      <c r="N281" s="8">
        <f t="shared" si="240"/>
        <v>5000</v>
      </c>
      <c r="O281" s="8">
        <f t="shared" si="241"/>
        <v>5000</v>
      </c>
      <c r="P281" s="8">
        <f t="shared" si="229"/>
        <v>12000</v>
      </c>
      <c r="Q281" s="95">
        <f>D281-J281-IF(C281=0,0,Inputs!$B$18)-P281</f>
        <v>60021.80661</v>
      </c>
      <c r="R281" s="8">
        <f>MAX(0,Q281-M281)*Inputs!$B$17</f>
        <v>13805.01552</v>
      </c>
      <c r="S281" s="8">
        <f t="shared" si="230"/>
        <v>0</v>
      </c>
      <c r="T281" s="95">
        <f t="shared" si="231"/>
        <v>214862.6115</v>
      </c>
      <c r="U281" s="8">
        <f>IF(AND(Inputs!$B$79=1,B281="OPEN",A281&gt;=Inputs!$B$82,C281&gt;=$E$10,MOD(C281-$E$10,$E$9)=0),MIN(MAX(0,T281-$E$8)*Inputs!$B$81,MAX(0,H281+J281-K281)),0)</f>
        <v>0</v>
      </c>
      <c r="V281" s="8">
        <f>IF(AND(Inputs!$B$79=1,B281="OPEN",A281&gt;=Inputs!$B$82,C281&gt;=$E$10,MOD(C281-$E$10,$E$9)=0),MIN(MAX(0,MAX(0,T281-$E$8)*Inputs!$B$81-U281),MAX(0,G281-I281)),0)</f>
        <v>0</v>
      </c>
      <c r="W281" s="8">
        <f t="shared" si="232"/>
        <v>124000</v>
      </c>
      <c r="X281" s="8">
        <f t="shared" si="233"/>
        <v>180862.8985</v>
      </c>
      <c r="Y281" s="8">
        <f t="shared" si="234"/>
        <v>304862.8985</v>
      </c>
      <c r="Z281" s="95">
        <f t="shared" si="235"/>
        <v>214862.6115</v>
      </c>
    </row>
    <row r="282">
      <c r="A282" s="8">
        <f t="shared" si="236"/>
        <v>41</v>
      </c>
      <c r="B282" s="96" t="str">
        <f t="array" ref="B282">INDEX('Monthly Base'!$B$5:$B$67,A282+1)</f>
        <v>OPEN</v>
      </c>
      <c r="C282" s="96">
        <f t="array" ref="C282">INDEX('Monthly Base'!$C$5:$C$67,A282+1)</f>
        <v>39</v>
      </c>
      <c r="D282" s="95">
        <f t="array" ref="D282">INDEX('Monthly Base'!$O$5:$O$67,A282+1)</f>
        <v>80737.01695</v>
      </c>
      <c r="E282" s="95">
        <f t="array" ref="E282">INDEX('Monthly Base'!$Y$5:$Y$67,A282+1)</f>
        <v>0</v>
      </c>
      <c r="F282" s="95">
        <f t="shared" si="237"/>
        <v>214862.6115</v>
      </c>
      <c r="G282" s="8">
        <f t="shared" ref="G282:H282" si="280">W281</f>
        <v>124000</v>
      </c>
      <c r="H282" s="8">
        <f t="shared" si="280"/>
        <v>180862.8985</v>
      </c>
      <c r="I282" s="95">
        <f>IF(OR(A282&lt;Inputs!$B$15,G282&lt;=0),0,MIN(Financing!$B$10,G282))</f>
        <v>4000</v>
      </c>
      <c r="J282" s="8">
        <f>IF(OR(A282&lt;Inputs!$B$15,H282&lt;=0),0,H282*Inputs!$B$13/12)</f>
        <v>715.9156399</v>
      </c>
      <c r="K282" s="95">
        <f>IF(OR(A282&lt;Inputs!$B$15,H282&lt;=0),0,MIN(Financing!$C$10,H282+J282))</f>
        <v>16881.22078</v>
      </c>
      <c r="L282" s="95">
        <f t="shared" si="228"/>
        <v>20881.22078</v>
      </c>
      <c r="M282" s="8">
        <f t="shared" si="239"/>
        <v>0</v>
      </c>
      <c r="N282" s="8">
        <f t="shared" si="240"/>
        <v>5000</v>
      </c>
      <c r="O282" s="8">
        <f t="shared" si="241"/>
        <v>5000</v>
      </c>
      <c r="P282" s="8">
        <f t="shared" si="229"/>
        <v>12000</v>
      </c>
      <c r="Q282" s="95">
        <f>D282-J282-IF(C282=0,0,Inputs!$B$18)-P282</f>
        <v>61208.10131</v>
      </c>
      <c r="R282" s="8">
        <f>MAX(0,Q282-M282)*Inputs!$B$17</f>
        <v>14077.8633</v>
      </c>
      <c r="S282" s="8">
        <f t="shared" si="230"/>
        <v>0</v>
      </c>
      <c r="T282" s="95">
        <f t="shared" si="231"/>
        <v>248640.5444</v>
      </c>
      <c r="U282" s="8">
        <f>IF(AND(Inputs!$B$79=1,B282="OPEN",A282&gt;=Inputs!$B$82,C282&gt;=$E$10,MOD(C282-$E$10,$E$9)=0),MIN(MAX(0,T282-$E$8)*Inputs!$B$81,MAX(0,H282+J282-K282)),0)</f>
        <v>0</v>
      </c>
      <c r="V282" s="8">
        <f>IF(AND(Inputs!$B$79=1,B282="OPEN",A282&gt;=Inputs!$B$82,C282&gt;=$E$10,MOD(C282-$E$10,$E$9)=0),MIN(MAX(0,MAX(0,T282-$E$8)*Inputs!$B$81-U282),MAX(0,G282-I282)),0)</f>
        <v>0</v>
      </c>
      <c r="W282" s="8">
        <f t="shared" si="232"/>
        <v>120000</v>
      </c>
      <c r="X282" s="8">
        <f t="shared" si="233"/>
        <v>164697.5934</v>
      </c>
      <c r="Y282" s="8">
        <f t="shared" si="234"/>
        <v>284697.5934</v>
      </c>
      <c r="Z282" s="95">
        <f t="shared" si="235"/>
        <v>248640.5444</v>
      </c>
    </row>
    <row r="283">
      <c r="A283" s="8">
        <f t="shared" si="236"/>
        <v>42</v>
      </c>
      <c r="B283" s="96" t="str">
        <f t="array" ref="B283">INDEX('Monthly Base'!$B$5:$B$67,A283+1)</f>
        <v>OPEN</v>
      </c>
      <c r="C283" s="96">
        <f t="array" ref="C283">INDEX('Monthly Base'!$C$5:$C$67,A283+1)</f>
        <v>40</v>
      </c>
      <c r="D283" s="95">
        <f t="array" ref="D283">INDEX('Monthly Base'!$O$5:$O$67,A283+1)</f>
        <v>81859.57627</v>
      </c>
      <c r="E283" s="95">
        <f t="array" ref="E283">INDEX('Monthly Base'!$Y$5:$Y$67,A283+1)</f>
        <v>0</v>
      </c>
      <c r="F283" s="95">
        <f t="shared" si="237"/>
        <v>248640.5444</v>
      </c>
      <c r="G283" s="8">
        <f t="shared" ref="G283:H283" si="281">W282</f>
        <v>120000</v>
      </c>
      <c r="H283" s="8">
        <f t="shared" si="281"/>
        <v>164697.5934</v>
      </c>
      <c r="I283" s="95">
        <f>IF(OR(A283&lt;Inputs!$B$15,G283&lt;=0),0,MIN(Financing!$B$10,G283))</f>
        <v>4000</v>
      </c>
      <c r="J283" s="8">
        <f>IF(OR(A283&lt;Inputs!$B$15,H283&lt;=0),0,H283*Inputs!$B$13/12)</f>
        <v>651.9279737</v>
      </c>
      <c r="K283" s="95">
        <f>IF(OR(A283&lt;Inputs!$B$15,H283&lt;=0),0,MIN(Financing!$C$10,H283+J283))</f>
        <v>16881.22078</v>
      </c>
      <c r="L283" s="95">
        <f t="shared" si="228"/>
        <v>20881.22078</v>
      </c>
      <c r="M283" s="8">
        <f t="shared" si="239"/>
        <v>0</v>
      </c>
      <c r="N283" s="8">
        <f t="shared" si="240"/>
        <v>5000</v>
      </c>
      <c r="O283" s="8">
        <f t="shared" si="241"/>
        <v>5000</v>
      </c>
      <c r="P283" s="8">
        <f t="shared" si="229"/>
        <v>12000</v>
      </c>
      <c r="Q283" s="95">
        <f>D283-J283-IF(C283=0,0,Inputs!$B$18)-P283</f>
        <v>62394.6483</v>
      </c>
      <c r="R283" s="8">
        <f>MAX(0,Q283-M283)*Inputs!$B$17</f>
        <v>14350.76911</v>
      </c>
      <c r="S283" s="8">
        <f t="shared" si="230"/>
        <v>0</v>
      </c>
      <c r="T283" s="95">
        <f t="shared" si="231"/>
        <v>283268.1308</v>
      </c>
      <c r="U283" s="8">
        <f>IF(AND(Inputs!$B$79=1,B283="OPEN",A283&gt;=Inputs!$B$82,C283&gt;=$E$10,MOD(C283-$E$10,$E$9)=0),MIN(MAX(0,T283-$E$8)*Inputs!$B$81,MAX(0,H283+J283-K283)),0)</f>
        <v>0</v>
      </c>
      <c r="V283" s="8">
        <f>IF(AND(Inputs!$B$79=1,B283="OPEN",A283&gt;=Inputs!$B$82,C283&gt;=$E$10,MOD(C283-$E$10,$E$9)=0),MIN(MAX(0,MAX(0,T283-$E$8)*Inputs!$B$81-U283),MAX(0,G283-I283)),0)</f>
        <v>0</v>
      </c>
      <c r="W283" s="8">
        <f t="shared" si="232"/>
        <v>116000</v>
      </c>
      <c r="X283" s="8">
        <f t="shared" si="233"/>
        <v>148468.3005</v>
      </c>
      <c r="Y283" s="8">
        <f t="shared" si="234"/>
        <v>264468.3005</v>
      </c>
      <c r="Z283" s="95">
        <f t="shared" si="235"/>
        <v>283268.1308</v>
      </c>
    </row>
    <row r="284">
      <c r="A284" s="8">
        <f t="shared" si="236"/>
        <v>43</v>
      </c>
      <c r="B284" s="96" t="str">
        <f t="array" ref="B284">INDEX('Monthly Base'!$B$5:$B$67,A284+1)</f>
        <v>OPEN</v>
      </c>
      <c r="C284" s="96">
        <f t="array" ref="C284">INDEX('Monthly Base'!$C$5:$C$67,A284+1)</f>
        <v>41</v>
      </c>
      <c r="D284" s="95">
        <f t="array" ref="D284">INDEX('Monthly Base'!$O$5:$O$67,A284+1)</f>
        <v>82982.13559</v>
      </c>
      <c r="E284" s="95">
        <f t="array" ref="E284">INDEX('Monthly Base'!$Y$5:$Y$67,A284+1)</f>
        <v>0</v>
      </c>
      <c r="F284" s="95">
        <f t="shared" si="237"/>
        <v>283268.1308</v>
      </c>
      <c r="G284" s="8">
        <f t="shared" ref="G284:H284" si="282">W283</f>
        <v>116000</v>
      </c>
      <c r="H284" s="8">
        <f t="shared" si="282"/>
        <v>148468.3005</v>
      </c>
      <c r="I284" s="95">
        <f>IF(OR(A284&lt;Inputs!$B$15,G284&lt;=0),0,MIN(Financing!$B$10,G284))</f>
        <v>4000</v>
      </c>
      <c r="J284" s="8">
        <f>IF(OR(A284&lt;Inputs!$B$15,H284&lt;=0),0,H284*Inputs!$B$13/12)</f>
        <v>587.687023</v>
      </c>
      <c r="K284" s="95">
        <f>IF(OR(A284&lt;Inputs!$B$15,H284&lt;=0),0,MIN(Financing!$C$10,H284+J284))</f>
        <v>16881.22078</v>
      </c>
      <c r="L284" s="95">
        <f t="shared" si="228"/>
        <v>20881.22078</v>
      </c>
      <c r="M284" s="8">
        <f t="shared" si="239"/>
        <v>0</v>
      </c>
      <c r="N284" s="8">
        <f t="shared" si="240"/>
        <v>5000</v>
      </c>
      <c r="O284" s="8">
        <f t="shared" si="241"/>
        <v>5000</v>
      </c>
      <c r="P284" s="8">
        <f t="shared" si="229"/>
        <v>12000</v>
      </c>
      <c r="Q284" s="95">
        <f>D284-J284-IF(C284=0,0,Inputs!$B$18)-P284</f>
        <v>63581.44857</v>
      </c>
      <c r="R284" s="8">
        <f>MAX(0,Q284-M284)*Inputs!$B$17</f>
        <v>14623.73317</v>
      </c>
      <c r="S284" s="8">
        <f t="shared" si="230"/>
        <v>0</v>
      </c>
      <c r="T284" s="95">
        <f t="shared" si="231"/>
        <v>318745.3124</v>
      </c>
      <c r="U284" s="8">
        <f>IF(AND(Inputs!$B$79=1,B284="OPEN",A284&gt;=Inputs!$B$82,C284&gt;=$E$10,MOD(C284-$E$10,$E$9)=0),MIN(MAX(0,T284-$E$8)*Inputs!$B$81,MAX(0,H284+J284-K284)),0)</f>
        <v>0</v>
      </c>
      <c r="V284" s="8">
        <f>IF(AND(Inputs!$B$79=1,B284="OPEN",A284&gt;=Inputs!$B$82,C284&gt;=$E$10,MOD(C284-$E$10,$E$9)=0),MIN(MAX(0,MAX(0,T284-$E$8)*Inputs!$B$81-U284),MAX(0,G284-I284)),0)</f>
        <v>0</v>
      </c>
      <c r="W284" s="8">
        <f t="shared" si="232"/>
        <v>112000</v>
      </c>
      <c r="X284" s="8">
        <f t="shared" si="233"/>
        <v>132174.7668</v>
      </c>
      <c r="Y284" s="8">
        <f t="shared" si="234"/>
        <v>244174.7668</v>
      </c>
      <c r="Z284" s="95">
        <f t="shared" si="235"/>
        <v>318745.3124</v>
      </c>
    </row>
    <row r="285">
      <c r="A285" s="8">
        <f t="shared" si="236"/>
        <v>44</v>
      </c>
      <c r="B285" s="96" t="str">
        <f t="array" ref="B285">INDEX('Monthly Base'!$B$5:$B$67,A285+1)</f>
        <v>OPEN</v>
      </c>
      <c r="C285" s="96">
        <f t="array" ref="C285">INDEX('Monthly Base'!$C$5:$C$67,A285+1)</f>
        <v>42</v>
      </c>
      <c r="D285" s="95">
        <f t="array" ref="D285">INDEX('Monthly Base'!$O$5:$O$67,A285+1)</f>
        <v>84291.78814</v>
      </c>
      <c r="E285" s="95">
        <f t="array" ref="E285">INDEX('Monthly Base'!$Y$5:$Y$67,A285+1)</f>
        <v>0</v>
      </c>
      <c r="F285" s="95">
        <f t="shared" si="237"/>
        <v>318745.3124</v>
      </c>
      <c r="G285" s="8">
        <f t="shared" ref="G285:H285" si="283">W284</f>
        <v>112000</v>
      </c>
      <c r="H285" s="8">
        <f t="shared" si="283"/>
        <v>132174.7668</v>
      </c>
      <c r="I285" s="95">
        <f>IF(OR(A285&lt;Inputs!$B$15,G285&lt;=0),0,MIN(Financing!$B$10,G285))</f>
        <v>4000</v>
      </c>
      <c r="J285" s="8">
        <f>IF(OR(A285&lt;Inputs!$B$15,H285&lt;=0),0,H285*Inputs!$B$13/12)</f>
        <v>523.1917852</v>
      </c>
      <c r="K285" s="95">
        <f>IF(OR(A285&lt;Inputs!$B$15,H285&lt;=0),0,MIN(Financing!$C$10,H285+J285))</f>
        <v>16881.22078</v>
      </c>
      <c r="L285" s="95">
        <f t="shared" si="228"/>
        <v>20881.22078</v>
      </c>
      <c r="M285" s="8">
        <f t="shared" si="239"/>
        <v>0</v>
      </c>
      <c r="N285" s="8">
        <f t="shared" si="240"/>
        <v>5000</v>
      </c>
      <c r="O285" s="8">
        <f t="shared" si="241"/>
        <v>5000</v>
      </c>
      <c r="P285" s="8">
        <f t="shared" si="229"/>
        <v>12000</v>
      </c>
      <c r="Q285" s="95">
        <f>D285-J285-IF(C285=0,0,Inputs!$B$18)-P285</f>
        <v>64955.59635</v>
      </c>
      <c r="R285" s="8">
        <f>MAX(0,Q285-M285)*Inputs!$B$17</f>
        <v>14939.78716</v>
      </c>
      <c r="S285" s="8">
        <f t="shared" si="230"/>
        <v>0</v>
      </c>
      <c r="T285" s="95">
        <f t="shared" si="231"/>
        <v>355216.0926</v>
      </c>
      <c r="U285" s="8">
        <f>IF(AND(Inputs!$B$79=1,B285="OPEN",A285&gt;=Inputs!$B$82,C285&gt;=$E$10,MOD(C285-$E$10,$E$9)=0),MIN(MAX(0,T285-$E$8)*Inputs!$B$81,MAX(0,H285+J285-K285)),0)</f>
        <v>115816.7378</v>
      </c>
      <c r="V285" s="8">
        <f>IF(AND(Inputs!$B$79=1,B285="OPEN",A285&gt;=Inputs!$B$82,C285&gt;=$E$10,MOD(C285-$E$10,$E$9)=0),MIN(MAX(0,MAX(0,T285-$E$8)*Inputs!$B$81-U285),MAX(0,G285-I285)),0)</f>
        <v>89399.35483</v>
      </c>
      <c r="W285" s="8">
        <f t="shared" si="232"/>
        <v>18600.64517</v>
      </c>
      <c r="X285" s="8">
        <f t="shared" si="233"/>
        <v>0</v>
      </c>
      <c r="Y285" s="8">
        <f t="shared" si="234"/>
        <v>18600.64517</v>
      </c>
      <c r="Z285" s="95">
        <f t="shared" si="235"/>
        <v>150000</v>
      </c>
    </row>
    <row r="286">
      <c r="A286" s="8">
        <f t="shared" si="236"/>
        <v>45</v>
      </c>
      <c r="B286" s="96" t="str">
        <f t="array" ref="B286">INDEX('Monthly Base'!$B$5:$B$67,A286+1)</f>
        <v>OPEN</v>
      </c>
      <c r="C286" s="96">
        <f t="array" ref="C286">INDEX('Monthly Base'!$C$5:$C$67,A286+1)</f>
        <v>43</v>
      </c>
      <c r="D286" s="95">
        <f t="array" ref="D286">INDEX('Monthly Base'!$O$5:$O$67,A286+1)</f>
        <v>85414.34746</v>
      </c>
      <c r="E286" s="95">
        <f t="array" ref="E286">INDEX('Monthly Base'!$Y$5:$Y$67,A286+1)</f>
        <v>0</v>
      </c>
      <c r="F286" s="95">
        <f t="shared" si="237"/>
        <v>150000</v>
      </c>
      <c r="G286" s="8">
        <f t="shared" ref="G286:H286" si="284">W285</f>
        <v>18600.64517</v>
      </c>
      <c r="H286" s="8">
        <f t="shared" si="284"/>
        <v>0</v>
      </c>
      <c r="I286" s="95">
        <f>IF(OR(A286&lt;Inputs!$B$15,G286&lt;=0),0,MIN(Financing!$B$10,G286))</f>
        <v>4000</v>
      </c>
      <c r="J286" s="8">
        <f>IF(OR(A286&lt;Inputs!$B$15,H286&lt;=0),0,H286*Inputs!$B$13/12)</f>
        <v>0</v>
      </c>
      <c r="K286" s="8">
        <f>IF(OR(A286&lt;Inputs!$B$15,H286&lt;=0),0,MIN(Financing!$C$10,H286+J286))</f>
        <v>0</v>
      </c>
      <c r="L286" s="95">
        <f t="shared" si="228"/>
        <v>4000</v>
      </c>
      <c r="M286" s="8">
        <f t="shared" si="239"/>
        <v>0</v>
      </c>
      <c r="N286" s="8">
        <f t="shared" si="240"/>
        <v>5000</v>
      </c>
      <c r="O286" s="8">
        <f t="shared" si="241"/>
        <v>5000</v>
      </c>
      <c r="P286" s="8">
        <f t="shared" si="229"/>
        <v>12000</v>
      </c>
      <c r="Q286" s="95">
        <f>D286-J286-IF(C286=0,0,Inputs!$B$18)-P286</f>
        <v>66601.34746</v>
      </c>
      <c r="R286" s="8">
        <f>MAX(0,Q286-M286)*Inputs!$B$17</f>
        <v>15318.30992</v>
      </c>
      <c r="S286" s="8">
        <f t="shared" si="230"/>
        <v>0</v>
      </c>
      <c r="T286" s="95">
        <f t="shared" si="231"/>
        <v>204096.0375</v>
      </c>
      <c r="U286" s="8">
        <f>IF(AND(Inputs!$B$79=1,B286="OPEN",A286&gt;=Inputs!$B$82,C286&gt;=$E$10,MOD(C286-$E$10,$E$9)=0),MIN(MAX(0,T286-$E$8)*Inputs!$B$81,MAX(0,H286+J286-K286)),0)</f>
        <v>0</v>
      </c>
      <c r="V286" s="8">
        <f>IF(AND(Inputs!$B$79=1,B286="OPEN",A286&gt;=Inputs!$B$82,C286&gt;=$E$10,MOD(C286-$E$10,$E$9)=0),MIN(MAX(0,MAX(0,T286-$E$8)*Inputs!$B$81-U286),MAX(0,G286-I286)),0)</f>
        <v>0</v>
      </c>
      <c r="W286" s="8">
        <f t="shared" si="232"/>
        <v>14600.64517</v>
      </c>
      <c r="X286" s="8">
        <f t="shared" si="233"/>
        <v>0</v>
      </c>
      <c r="Y286" s="8">
        <f t="shared" si="234"/>
        <v>14600.64517</v>
      </c>
      <c r="Z286" s="95">
        <f t="shared" si="235"/>
        <v>204096.0375</v>
      </c>
    </row>
    <row r="287">
      <c r="A287" s="8">
        <f t="shared" si="236"/>
        <v>46</v>
      </c>
      <c r="B287" s="96" t="str">
        <f t="array" ref="B287">INDEX('Monthly Base'!$B$5:$B$67,A287+1)</f>
        <v>OPEN</v>
      </c>
      <c r="C287" s="96">
        <f t="array" ref="C287">INDEX('Monthly Base'!$C$5:$C$67,A287+1)</f>
        <v>44</v>
      </c>
      <c r="D287" s="95">
        <f t="array" ref="D287">INDEX('Monthly Base'!$O$5:$O$67,A287+1)</f>
        <v>86536.90678</v>
      </c>
      <c r="E287" s="95">
        <f t="array" ref="E287">INDEX('Monthly Base'!$Y$5:$Y$67,A287+1)</f>
        <v>0</v>
      </c>
      <c r="F287" s="95">
        <f t="shared" si="237"/>
        <v>204096.0375</v>
      </c>
      <c r="G287" s="8">
        <f t="shared" ref="G287:H287" si="285">W286</f>
        <v>14600.64517</v>
      </c>
      <c r="H287" s="8">
        <f t="shared" si="285"/>
        <v>0</v>
      </c>
      <c r="I287" s="95">
        <f>IF(OR(A287&lt;Inputs!$B$15,G287&lt;=0),0,MIN(Financing!$B$10,G287))</f>
        <v>4000</v>
      </c>
      <c r="J287" s="8">
        <f>IF(OR(A287&lt;Inputs!$B$15,H287&lt;=0),0,H287*Inputs!$B$13/12)</f>
        <v>0</v>
      </c>
      <c r="K287" s="8">
        <f>IF(OR(A287&lt;Inputs!$B$15,H287&lt;=0),0,MIN(Financing!$C$10,H287+J287))</f>
        <v>0</v>
      </c>
      <c r="L287" s="95">
        <f t="shared" si="228"/>
        <v>4000</v>
      </c>
      <c r="M287" s="8">
        <f t="shared" si="239"/>
        <v>0</v>
      </c>
      <c r="N287" s="8">
        <f t="shared" si="240"/>
        <v>5000</v>
      </c>
      <c r="O287" s="8">
        <f t="shared" si="241"/>
        <v>5000</v>
      </c>
      <c r="P287" s="8">
        <f t="shared" si="229"/>
        <v>12000</v>
      </c>
      <c r="Q287" s="95">
        <f>D287-J287-IF(C287=0,0,Inputs!$B$18)-P287</f>
        <v>67723.90678</v>
      </c>
      <c r="R287" s="8">
        <f>MAX(0,Q287-M287)*Inputs!$B$17</f>
        <v>15576.49856</v>
      </c>
      <c r="S287" s="8">
        <f t="shared" si="230"/>
        <v>0</v>
      </c>
      <c r="T287" s="95">
        <f t="shared" si="231"/>
        <v>259056.4458</v>
      </c>
      <c r="U287" s="8">
        <f>IF(AND(Inputs!$B$79=1,B287="OPEN",A287&gt;=Inputs!$B$82,C287&gt;=$E$10,MOD(C287-$E$10,$E$9)=0),MIN(MAX(0,T287-$E$8)*Inputs!$B$81,MAX(0,H287+J287-K287)),0)</f>
        <v>0</v>
      </c>
      <c r="V287" s="8">
        <f>IF(AND(Inputs!$B$79=1,B287="OPEN",A287&gt;=Inputs!$B$82,C287&gt;=$E$10,MOD(C287-$E$10,$E$9)=0),MIN(MAX(0,MAX(0,T287-$E$8)*Inputs!$B$81-U287),MAX(0,G287-I287)),0)</f>
        <v>0</v>
      </c>
      <c r="W287" s="8">
        <f t="shared" si="232"/>
        <v>10600.64517</v>
      </c>
      <c r="X287" s="8">
        <f t="shared" si="233"/>
        <v>0</v>
      </c>
      <c r="Y287" s="8">
        <f t="shared" si="234"/>
        <v>10600.64517</v>
      </c>
      <c r="Z287" s="95">
        <f t="shared" si="235"/>
        <v>259056.4458</v>
      </c>
    </row>
    <row r="288">
      <c r="A288" s="8">
        <f t="shared" si="236"/>
        <v>47</v>
      </c>
      <c r="B288" s="96" t="str">
        <f t="array" ref="B288">INDEX('Monthly Base'!$B$5:$B$67,A288+1)</f>
        <v>OPEN</v>
      </c>
      <c r="C288" s="96">
        <f t="array" ref="C288">INDEX('Monthly Base'!$C$5:$C$67,A288+1)</f>
        <v>45</v>
      </c>
      <c r="D288" s="95">
        <f t="array" ref="D288">INDEX('Monthly Base'!$O$5:$O$67,A288+1)</f>
        <v>87659.4661</v>
      </c>
      <c r="E288" s="95">
        <f t="array" ref="E288">INDEX('Monthly Base'!$Y$5:$Y$67,A288+1)</f>
        <v>0</v>
      </c>
      <c r="F288" s="95">
        <f t="shared" si="237"/>
        <v>259056.4458</v>
      </c>
      <c r="G288" s="8">
        <f t="shared" ref="G288:H288" si="286">W287</f>
        <v>10600.64517</v>
      </c>
      <c r="H288" s="8">
        <f t="shared" si="286"/>
        <v>0</v>
      </c>
      <c r="I288" s="95">
        <f>IF(OR(A288&lt;Inputs!$B$15,G288&lt;=0),0,MIN(Financing!$B$10,G288))</f>
        <v>4000</v>
      </c>
      <c r="J288" s="8">
        <f>IF(OR(A288&lt;Inputs!$B$15,H288&lt;=0),0,H288*Inputs!$B$13/12)</f>
        <v>0</v>
      </c>
      <c r="K288" s="8">
        <f>IF(OR(A288&lt;Inputs!$B$15,H288&lt;=0),0,MIN(Financing!$C$10,H288+J288))</f>
        <v>0</v>
      </c>
      <c r="L288" s="95">
        <f t="shared" si="228"/>
        <v>4000</v>
      </c>
      <c r="M288" s="8">
        <f t="shared" si="239"/>
        <v>0</v>
      </c>
      <c r="N288" s="8">
        <f t="shared" si="240"/>
        <v>5000</v>
      </c>
      <c r="O288" s="8">
        <f t="shared" si="241"/>
        <v>5000</v>
      </c>
      <c r="P288" s="8">
        <f t="shared" si="229"/>
        <v>12000</v>
      </c>
      <c r="Q288" s="95">
        <f>D288-J288-IF(C288=0,0,Inputs!$B$18)-P288</f>
        <v>68846.4661</v>
      </c>
      <c r="R288" s="8">
        <f>MAX(0,Q288-M288)*Inputs!$B$17</f>
        <v>15834.6872</v>
      </c>
      <c r="S288" s="8">
        <f t="shared" si="230"/>
        <v>0</v>
      </c>
      <c r="T288" s="95">
        <f t="shared" si="231"/>
        <v>314881.2247</v>
      </c>
      <c r="U288" s="8">
        <f>IF(AND(Inputs!$B$79=1,B288="OPEN",A288&gt;=Inputs!$B$82,C288&gt;=$E$10,MOD(C288-$E$10,$E$9)=0),MIN(MAX(0,T288-$E$8)*Inputs!$B$81,MAX(0,H288+J288-K288)),0)</f>
        <v>0</v>
      </c>
      <c r="V288" s="8">
        <f>IF(AND(Inputs!$B$79=1,B288="OPEN",A288&gt;=Inputs!$B$82,C288&gt;=$E$10,MOD(C288-$E$10,$E$9)=0),MIN(MAX(0,MAX(0,T288-$E$8)*Inputs!$B$81-U288),MAX(0,G288-I288)),0)</f>
        <v>0</v>
      </c>
      <c r="W288" s="8">
        <f t="shared" si="232"/>
        <v>6600.645173</v>
      </c>
      <c r="X288" s="8">
        <f t="shared" si="233"/>
        <v>0</v>
      </c>
      <c r="Y288" s="8">
        <f t="shared" si="234"/>
        <v>6600.645173</v>
      </c>
      <c r="Z288" s="95">
        <f t="shared" si="235"/>
        <v>314881.2247</v>
      </c>
    </row>
    <row r="289">
      <c r="A289" s="8">
        <f t="shared" si="236"/>
        <v>48</v>
      </c>
      <c r="B289" s="96" t="str">
        <f t="array" ref="B289">INDEX('Monthly Base'!$B$5:$B$67,A289+1)</f>
        <v>OPEN</v>
      </c>
      <c r="C289" s="96">
        <f t="array" ref="C289">INDEX('Monthly Base'!$C$5:$C$67,A289+1)</f>
        <v>46</v>
      </c>
      <c r="D289" s="95">
        <f t="array" ref="D289">INDEX('Monthly Base'!$O$5:$O$67,A289+1)</f>
        <v>88969.11864</v>
      </c>
      <c r="E289" s="95">
        <f t="array" ref="E289">INDEX('Monthly Base'!$Y$5:$Y$67,A289+1)</f>
        <v>0</v>
      </c>
      <c r="F289" s="95">
        <f t="shared" si="237"/>
        <v>314881.2247</v>
      </c>
      <c r="G289" s="8">
        <f t="shared" ref="G289:H289" si="287">W288</f>
        <v>6600.645173</v>
      </c>
      <c r="H289" s="8">
        <f t="shared" si="287"/>
        <v>0</v>
      </c>
      <c r="I289" s="95">
        <f>IF(OR(A289&lt;Inputs!$B$15,G289&lt;=0),0,MIN(Financing!$B$10,G289))</f>
        <v>4000</v>
      </c>
      <c r="J289" s="8">
        <f>IF(OR(A289&lt;Inputs!$B$15,H289&lt;=0),0,H289*Inputs!$B$13/12)</f>
        <v>0</v>
      </c>
      <c r="K289" s="8">
        <f>IF(OR(A289&lt;Inputs!$B$15,H289&lt;=0),0,MIN(Financing!$C$10,H289+J289))</f>
        <v>0</v>
      </c>
      <c r="L289" s="95">
        <f t="shared" si="228"/>
        <v>4000</v>
      </c>
      <c r="M289" s="8">
        <f t="shared" si="239"/>
        <v>0</v>
      </c>
      <c r="N289" s="8">
        <f t="shared" si="240"/>
        <v>5000</v>
      </c>
      <c r="O289" s="8">
        <f t="shared" si="241"/>
        <v>5000</v>
      </c>
      <c r="P289" s="8">
        <f t="shared" si="229"/>
        <v>12000</v>
      </c>
      <c r="Q289" s="95">
        <f>D289-J289-IF(C289=0,0,Inputs!$B$18)-P289</f>
        <v>70156.11864</v>
      </c>
      <c r="R289" s="8">
        <f>MAX(0,Q289-M289)*Inputs!$B$17</f>
        <v>16135.90729</v>
      </c>
      <c r="S289" s="8">
        <f t="shared" si="230"/>
        <v>0</v>
      </c>
      <c r="T289" s="95">
        <f t="shared" si="231"/>
        <v>371714.436</v>
      </c>
      <c r="U289" s="8">
        <f>IF(AND(Inputs!$B$79=1,B289="OPEN",A289&gt;=Inputs!$B$82,C289&gt;=$E$10,MOD(C289-$E$10,$E$9)=0),MIN(MAX(0,T289-$E$8)*Inputs!$B$81,MAX(0,H289+J289-K289)),0)</f>
        <v>0</v>
      </c>
      <c r="V289" s="8">
        <f>IF(AND(Inputs!$B$79=1,B289="OPEN",A289&gt;=Inputs!$B$82,C289&gt;=$E$10,MOD(C289-$E$10,$E$9)=0),MIN(MAX(0,MAX(0,T289-$E$8)*Inputs!$B$81-U289),MAX(0,G289-I289)),0)</f>
        <v>0</v>
      </c>
      <c r="W289" s="8">
        <f t="shared" si="232"/>
        <v>2600.645173</v>
      </c>
      <c r="X289" s="8">
        <f t="shared" si="233"/>
        <v>0</v>
      </c>
      <c r="Y289" s="8">
        <f t="shared" si="234"/>
        <v>2600.645173</v>
      </c>
      <c r="Z289" s="95">
        <f t="shared" si="235"/>
        <v>371714.436</v>
      </c>
    </row>
    <row r="290">
      <c r="A290" s="8">
        <f t="shared" si="236"/>
        <v>49</v>
      </c>
      <c r="B290" s="96" t="str">
        <f t="array" ref="B290">INDEX('Monthly Base'!$B$5:$B$67,A290+1)</f>
        <v>OPEN</v>
      </c>
      <c r="C290" s="96">
        <f t="array" ref="C290">INDEX('Monthly Base'!$C$5:$C$67,A290+1)</f>
        <v>47</v>
      </c>
      <c r="D290" s="95">
        <f t="array" ref="D290">INDEX('Monthly Base'!$O$5:$O$67,A290+1)</f>
        <v>90091.67797</v>
      </c>
      <c r="E290" s="95">
        <f t="array" ref="E290">INDEX('Monthly Base'!$Y$5:$Y$67,A290+1)</f>
        <v>0</v>
      </c>
      <c r="F290" s="95">
        <f t="shared" si="237"/>
        <v>371714.436</v>
      </c>
      <c r="G290" s="8">
        <f t="shared" ref="G290:H290" si="288">W289</f>
        <v>2600.645173</v>
      </c>
      <c r="H290" s="8">
        <f t="shared" si="288"/>
        <v>0</v>
      </c>
      <c r="I290" s="95">
        <f>IF(OR(A290&lt;Inputs!$B$15,G290&lt;=0),0,MIN(Financing!$B$10,G290))</f>
        <v>2600.645173</v>
      </c>
      <c r="J290" s="8">
        <f>IF(OR(A290&lt;Inputs!$B$15,H290&lt;=0),0,H290*Inputs!$B$13/12)</f>
        <v>0</v>
      </c>
      <c r="K290" s="8">
        <f>IF(OR(A290&lt;Inputs!$B$15,H290&lt;=0),0,MIN(Financing!$C$10,H290+J290))</f>
        <v>0</v>
      </c>
      <c r="L290" s="95">
        <f t="shared" si="228"/>
        <v>2600.645173</v>
      </c>
      <c r="M290" s="8">
        <f t="shared" si="239"/>
        <v>0</v>
      </c>
      <c r="N290" s="8">
        <f t="shared" si="240"/>
        <v>5000</v>
      </c>
      <c r="O290" s="8">
        <f t="shared" si="241"/>
        <v>5000</v>
      </c>
      <c r="P290" s="8">
        <f t="shared" si="229"/>
        <v>12000</v>
      </c>
      <c r="Q290" s="95">
        <f>D290-J290-IF(C290=0,0,Inputs!$B$18)-P290</f>
        <v>71278.67797</v>
      </c>
      <c r="R290" s="8">
        <f>MAX(0,Q290-M290)*Inputs!$B$17</f>
        <v>16394.09593</v>
      </c>
      <c r="S290" s="8">
        <f t="shared" si="230"/>
        <v>0</v>
      </c>
      <c r="T290" s="95">
        <f t="shared" si="231"/>
        <v>430811.3729</v>
      </c>
      <c r="U290" s="8">
        <f>IF(AND(Inputs!$B$79=1,B290="OPEN",A290&gt;=Inputs!$B$82,C290&gt;=$E$10,MOD(C290-$E$10,$E$9)=0),MIN(MAX(0,T290-$E$8)*Inputs!$B$81,MAX(0,H290+J290-K290)),0)</f>
        <v>0</v>
      </c>
      <c r="V290" s="8">
        <f>IF(AND(Inputs!$B$79=1,B290="OPEN",A290&gt;=Inputs!$B$82,C290&gt;=$E$10,MOD(C290-$E$10,$E$9)=0),MIN(MAX(0,MAX(0,T290-$E$8)*Inputs!$B$81-U290),MAX(0,G290-I290)),0)</f>
        <v>0</v>
      </c>
      <c r="W290" s="8">
        <f t="shared" si="232"/>
        <v>0</v>
      </c>
      <c r="X290" s="8">
        <f t="shared" si="233"/>
        <v>0</v>
      </c>
      <c r="Y290" s="8">
        <f t="shared" si="234"/>
        <v>0</v>
      </c>
      <c r="Z290" s="95">
        <f t="shared" si="235"/>
        <v>430811.3729</v>
      </c>
    </row>
    <row r="291">
      <c r="A291" s="8">
        <f t="shared" si="236"/>
        <v>50</v>
      </c>
      <c r="B291" s="96" t="str">
        <f t="array" ref="B291">INDEX('Monthly Base'!$B$5:$B$67,A291+1)</f>
        <v>OPEN</v>
      </c>
      <c r="C291" s="96">
        <f t="array" ref="C291">INDEX('Monthly Base'!$C$5:$C$67,A291+1)</f>
        <v>48</v>
      </c>
      <c r="D291" s="95">
        <f t="array" ref="D291">INDEX('Monthly Base'!$O$5:$O$67,A291+1)</f>
        <v>91214.23729</v>
      </c>
      <c r="E291" s="95">
        <f t="array" ref="E291">INDEX('Monthly Base'!$Y$5:$Y$67,A291+1)</f>
        <v>0</v>
      </c>
      <c r="F291" s="95">
        <f t="shared" si="237"/>
        <v>430811.3729</v>
      </c>
      <c r="G291" s="8">
        <f t="shared" ref="G291:H291" si="289">W290</f>
        <v>0</v>
      </c>
      <c r="H291" s="8">
        <f t="shared" si="289"/>
        <v>0</v>
      </c>
      <c r="I291" s="8">
        <f>IF(OR(A291&lt;Inputs!$B$15,G291&lt;=0),0,MIN(Financing!$B$10,G291))</f>
        <v>0</v>
      </c>
      <c r="J291" s="8">
        <f>IF(OR(A291&lt;Inputs!$B$15,H291&lt;=0),0,H291*Inputs!$B$13/12)</f>
        <v>0</v>
      </c>
      <c r="K291" s="8">
        <f>IF(OR(A291&lt;Inputs!$B$15,H291&lt;=0),0,MIN(Financing!$C$10,H291+J291))</f>
        <v>0</v>
      </c>
      <c r="L291" s="8">
        <f t="shared" si="228"/>
        <v>0</v>
      </c>
      <c r="M291" s="8">
        <f t="shared" si="239"/>
        <v>0</v>
      </c>
      <c r="N291" s="8">
        <f t="shared" si="240"/>
        <v>10000</v>
      </c>
      <c r="O291" s="8">
        <f t="shared" si="241"/>
        <v>10000</v>
      </c>
      <c r="P291" s="8">
        <f t="shared" si="229"/>
        <v>24000</v>
      </c>
      <c r="Q291" s="95">
        <f>D291-J291-IF(C291=0,0,Inputs!$B$18)-P291</f>
        <v>60401.23729</v>
      </c>
      <c r="R291" s="8">
        <f>MAX(0,Q291-M291)*Inputs!$B$17</f>
        <v>13892.28458</v>
      </c>
      <c r="S291" s="8">
        <f t="shared" si="230"/>
        <v>0</v>
      </c>
      <c r="T291" s="95">
        <f t="shared" si="231"/>
        <v>484133.3256</v>
      </c>
      <c r="U291" s="8">
        <f>IF(AND(Inputs!$B$79=1,B291="OPEN",A291&gt;=Inputs!$B$82,C291&gt;=$E$10,MOD(C291-$E$10,$E$9)=0),MIN(MAX(0,T291-$E$8)*Inputs!$B$81,MAX(0,H291+J291-K291)),0)</f>
        <v>0</v>
      </c>
      <c r="V291" s="8">
        <f>IF(AND(Inputs!$B$79=1,B291="OPEN",A291&gt;=Inputs!$B$82,C291&gt;=$E$10,MOD(C291-$E$10,$E$9)=0),MIN(MAX(0,MAX(0,T291-$E$8)*Inputs!$B$81-U291),MAX(0,G291-I291)),0)</f>
        <v>0</v>
      </c>
      <c r="W291" s="8">
        <f t="shared" si="232"/>
        <v>0</v>
      </c>
      <c r="X291" s="8">
        <f t="shared" si="233"/>
        <v>0</v>
      </c>
      <c r="Y291" s="8">
        <f t="shared" si="234"/>
        <v>0</v>
      </c>
      <c r="Z291" s="95">
        <f t="shared" si="235"/>
        <v>484133.3256</v>
      </c>
    </row>
    <row r="292">
      <c r="A292" s="8">
        <f t="shared" si="236"/>
        <v>51</v>
      </c>
      <c r="B292" s="96" t="str">
        <f t="array" ref="B292">INDEX('Monthly Base'!$B$5:$B$67,A292+1)</f>
        <v>OPEN</v>
      </c>
      <c r="C292" s="96">
        <f t="array" ref="C292">INDEX('Monthly Base'!$C$5:$C$67,A292+1)</f>
        <v>49</v>
      </c>
      <c r="D292" s="95">
        <f t="array" ref="D292">INDEX('Monthly Base'!$O$5:$O$67,A292+1)</f>
        <v>91962.61017</v>
      </c>
      <c r="E292" s="95">
        <f t="array" ref="E292">INDEX('Monthly Base'!$Y$5:$Y$67,A292+1)</f>
        <v>0</v>
      </c>
      <c r="F292" s="95">
        <f t="shared" si="237"/>
        <v>484133.3256</v>
      </c>
      <c r="G292" s="8">
        <f t="shared" ref="G292:H292" si="290">W291</f>
        <v>0</v>
      </c>
      <c r="H292" s="8">
        <f t="shared" si="290"/>
        <v>0</v>
      </c>
      <c r="I292" s="8">
        <f>IF(OR(A292&lt;Inputs!$B$15,G292&lt;=0),0,MIN(Financing!$B$10,G292))</f>
        <v>0</v>
      </c>
      <c r="J292" s="8">
        <f>IF(OR(A292&lt;Inputs!$B$15,H292&lt;=0),0,H292*Inputs!$B$13/12)</f>
        <v>0</v>
      </c>
      <c r="K292" s="8">
        <f>IF(OR(A292&lt;Inputs!$B$15,H292&lt;=0),0,MIN(Financing!$C$10,H292+J292))</f>
        <v>0</v>
      </c>
      <c r="L292" s="8">
        <f t="shared" si="228"/>
        <v>0</v>
      </c>
      <c r="M292" s="8">
        <f t="shared" si="239"/>
        <v>0</v>
      </c>
      <c r="N292" s="8">
        <f t="shared" si="240"/>
        <v>10000</v>
      </c>
      <c r="O292" s="8">
        <f t="shared" si="241"/>
        <v>10000</v>
      </c>
      <c r="P292" s="8">
        <f t="shared" si="229"/>
        <v>24000</v>
      </c>
      <c r="Q292" s="95">
        <f>D292-J292-IF(C292=0,0,Inputs!$B$18)-P292</f>
        <v>61149.61017</v>
      </c>
      <c r="R292" s="8">
        <f>MAX(0,Q292-M292)*Inputs!$B$17</f>
        <v>14064.41034</v>
      </c>
      <c r="S292" s="8">
        <f t="shared" si="230"/>
        <v>0</v>
      </c>
      <c r="T292" s="95">
        <f t="shared" si="231"/>
        <v>538031.5254</v>
      </c>
      <c r="U292" s="8">
        <f>IF(AND(Inputs!$B$79=1,B292="OPEN",A292&gt;=Inputs!$B$82,C292&gt;=$E$10,MOD(C292-$E$10,$E$9)=0),MIN(MAX(0,T292-$E$8)*Inputs!$B$81,MAX(0,H292+J292-K292)),0)</f>
        <v>0</v>
      </c>
      <c r="V292" s="8">
        <f>IF(AND(Inputs!$B$79=1,B292="OPEN",A292&gt;=Inputs!$B$82,C292&gt;=$E$10,MOD(C292-$E$10,$E$9)=0),MIN(MAX(0,MAX(0,T292-$E$8)*Inputs!$B$81-U292),MAX(0,G292-I292)),0)</f>
        <v>0</v>
      </c>
      <c r="W292" s="8">
        <f t="shared" si="232"/>
        <v>0</v>
      </c>
      <c r="X292" s="8">
        <f t="shared" si="233"/>
        <v>0</v>
      </c>
      <c r="Y292" s="8">
        <f t="shared" si="234"/>
        <v>0</v>
      </c>
      <c r="Z292" s="95">
        <f t="shared" si="235"/>
        <v>538031.5254</v>
      </c>
    </row>
    <row r="293">
      <c r="A293" s="8">
        <f t="shared" si="236"/>
        <v>52</v>
      </c>
      <c r="B293" s="96" t="str">
        <f t="array" ref="B293">INDEX('Monthly Base'!$B$5:$B$67,A293+1)</f>
        <v>OPEN</v>
      </c>
      <c r="C293" s="96">
        <f t="array" ref="C293">INDEX('Monthly Base'!$C$5:$C$67,A293+1)</f>
        <v>50</v>
      </c>
      <c r="D293" s="95">
        <f t="array" ref="D293">INDEX('Monthly Base'!$O$5:$O$67,A293+1)</f>
        <v>92710.98305</v>
      </c>
      <c r="E293" s="95">
        <f t="array" ref="E293">INDEX('Monthly Base'!$Y$5:$Y$67,A293+1)</f>
        <v>0</v>
      </c>
      <c r="F293" s="95">
        <f t="shared" si="237"/>
        <v>538031.5254</v>
      </c>
      <c r="G293" s="8">
        <f t="shared" ref="G293:H293" si="291">W292</f>
        <v>0</v>
      </c>
      <c r="H293" s="8">
        <f t="shared" si="291"/>
        <v>0</v>
      </c>
      <c r="I293" s="8">
        <f>IF(OR(A293&lt;Inputs!$B$15,G293&lt;=0),0,MIN(Financing!$B$10,G293))</f>
        <v>0</v>
      </c>
      <c r="J293" s="8">
        <f>IF(OR(A293&lt;Inputs!$B$15,H293&lt;=0),0,H293*Inputs!$B$13/12)</f>
        <v>0</v>
      </c>
      <c r="K293" s="8">
        <f>IF(OR(A293&lt;Inputs!$B$15,H293&lt;=0),0,MIN(Financing!$C$10,H293+J293))</f>
        <v>0</v>
      </c>
      <c r="L293" s="8">
        <f t="shared" si="228"/>
        <v>0</v>
      </c>
      <c r="M293" s="8">
        <f t="shared" si="239"/>
        <v>0</v>
      </c>
      <c r="N293" s="8">
        <f t="shared" si="240"/>
        <v>10000</v>
      </c>
      <c r="O293" s="8">
        <f t="shared" si="241"/>
        <v>10000</v>
      </c>
      <c r="P293" s="8">
        <f t="shared" si="229"/>
        <v>24000</v>
      </c>
      <c r="Q293" s="95">
        <f>D293-J293-IF(C293=0,0,Inputs!$B$18)-P293</f>
        <v>61897.98305</v>
      </c>
      <c r="R293" s="8">
        <f>MAX(0,Q293-M293)*Inputs!$B$17</f>
        <v>14236.5361</v>
      </c>
      <c r="S293" s="8">
        <f t="shared" si="230"/>
        <v>0</v>
      </c>
      <c r="T293" s="95">
        <f t="shared" si="231"/>
        <v>592505.9724</v>
      </c>
      <c r="U293" s="8">
        <f>IF(AND(Inputs!$B$79=1,B293="OPEN",A293&gt;=Inputs!$B$82,C293&gt;=$E$10,MOD(C293-$E$10,$E$9)=0),MIN(MAX(0,T293-$E$8)*Inputs!$B$81,MAX(0,H293+J293-K293)),0)</f>
        <v>0</v>
      </c>
      <c r="V293" s="8">
        <f>IF(AND(Inputs!$B$79=1,B293="OPEN",A293&gt;=Inputs!$B$82,C293&gt;=$E$10,MOD(C293-$E$10,$E$9)=0),MIN(MAX(0,MAX(0,T293-$E$8)*Inputs!$B$81-U293),MAX(0,G293-I293)),0)</f>
        <v>0</v>
      </c>
      <c r="W293" s="8">
        <f t="shared" si="232"/>
        <v>0</v>
      </c>
      <c r="X293" s="8">
        <f t="shared" si="233"/>
        <v>0</v>
      </c>
      <c r="Y293" s="8">
        <f t="shared" si="234"/>
        <v>0</v>
      </c>
      <c r="Z293" s="95">
        <f t="shared" si="235"/>
        <v>592505.9724</v>
      </c>
    </row>
    <row r="294">
      <c r="A294" s="8">
        <f t="shared" si="236"/>
        <v>53</v>
      </c>
      <c r="B294" s="96" t="str">
        <f t="array" ref="B294">INDEX('Monthly Base'!$B$5:$B$67,A294+1)</f>
        <v>OPEN</v>
      </c>
      <c r="C294" s="96">
        <f t="array" ref="C294">INDEX('Monthly Base'!$C$5:$C$67,A294+1)</f>
        <v>51</v>
      </c>
      <c r="D294" s="95">
        <f t="array" ref="D294">INDEX('Monthly Base'!$O$5:$O$67,A294+1)</f>
        <v>93646.44915</v>
      </c>
      <c r="E294" s="95">
        <f t="array" ref="E294">INDEX('Monthly Base'!$Y$5:$Y$67,A294+1)</f>
        <v>0</v>
      </c>
      <c r="F294" s="95">
        <f t="shared" si="237"/>
        <v>592505.9724</v>
      </c>
      <c r="G294" s="8">
        <f t="shared" ref="G294:H294" si="292">W293</f>
        <v>0</v>
      </c>
      <c r="H294" s="8">
        <f t="shared" si="292"/>
        <v>0</v>
      </c>
      <c r="I294" s="8">
        <f>IF(OR(A294&lt;Inputs!$B$15,G294&lt;=0),0,MIN(Financing!$B$10,G294))</f>
        <v>0</v>
      </c>
      <c r="J294" s="8">
        <f>IF(OR(A294&lt;Inputs!$B$15,H294&lt;=0),0,H294*Inputs!$B$13/12)</f>
        <v>0</v>
      </c>
      <c r="K294" s="8">
        <f>IF(OR(A294&lt;Inputs!$B$15,H294&lt;=0),0,MIN(Financing!$C$10,H294+J294))</f>
        <v>0</v>
      </c>
      <c r="L294" s="8">
        <f t="shared" si="228"/>
        <v>0</v>
      </c>
      <c r="M294" s="8">
        <f t="shared" si="239"/>
        <v>0</v>
      </c>
      <c r="N294" s="8">
        <f t="shared" si="240"/>
        <v>10000</v>
      </c>
      <c r="O294" s="8">
        <f t="shared" si="241"/>
        <v>10000</v>
      </c>
      <c r="P294" s="8">
        <f t="shared" si="229"/>
        <v>24000</v>
      </c>
      <c r="Q294" s="95">
        <f>D294-J294-IF(C294=0,0,Inputs!$B$18)-P294</f>
        <v>62833.44915</v>
      </c>
      <c r="R294" s="8">
        <f>MAX(0,Q294-M294)*Inputs!$B$17</f>
        <v>14451.69331</v>
      </c>
      <c r="S294" s="8">
        <f t="shared" si="230"/>
        <v>0</v>
      </c>
      <c r="T294" s="95">
        <f t="shared" si="231"/>
        <v>647700.7282</v>
      </c>
      <c r="U294" s="8">
        <f>IF(AND(Inputs!$B$79=1,B294="OPEN",A294&gt;=Inputs!$B$82,C294&gt;=$E$10,MOD(C294-$E$10,$E$9)=0),MIN(MAX(0,T294-$E$8)*Inputs!$B$81,MAX(0,H294+J294-K294)),0)</f>
        <v>0</v>
      </c>
      <c r="V294" s="8">
        <f>IF(AND(Inputs!$B$79=1,B294="OPEN",A294&gt;=Inputs!$B$82,C294&gt;=$E$10,MOD(C294-$E$10,$E$9)=0),MIN(MAX(0,MAX(0,T294-$E$8)*Inputs!$B$81-U294),MAX(0,G294-I294)),0)</f>
        <v>0</v>
      </c>
      <c r="W294" s="8">
        <f t="shared" si="232"/>
        <v>0</v>
      </c>
      <c r="X294" s="8">
        <f t="shared" si="233"/>
        <v>0</v>
      </c>
      <c r="Y294" s="8">
        <f t="shared" si="234"/>
        <v>0</v>
      </c>
      <c r="Z294" s="95">
        <f t="shared" si="235"/>
        <v>647700.7282</v>
      </c>
    </row>
    <row r="295">
      <c r="A295" s="8">
        <f t="shared" si="236"/>
        <v>54</v>
      </c>
      <c r="B295" s="96" t="str">
        <f t="array" ref="B295">INDEX('Monthly Base'!$B$5:$B$67,A295+1)</f>
        <v>OPEN</v>
      </c>
      <c r="C295" s="96">
        <f t="array" ref="C295">INDEX('Monthly Base'!$C$5:$C$67,A295+1)</f>
        <v>52</v>
      </c>
      <c r="D295" s="95">
        <f t="array" ref="D295">INDEX('Monthly Base'!$O$5:$O$67,A295+1)</f>
        <v>94394.82203</v>
      </c>
      <c r="E295" s="95">
        <f t="array" ref="E295">INDEX('Monthly Base'!$Y$5:$Y$67,A295+1)</f>
        <v>0</v>
      </c>
      <c r="F295" s="95">
        <f t="shared" si="237"/>
        <v>647700.7282</v>
      </c>
      <c r="G295" s="8">
        <f t="shared" ref="G295:H295" si="293">W294</f>
        <v>0</v>
      </c>
      <c r="H295" s="8">
        <f t="shared" si="293"/>
        <v>0</v>
      </c>
      <c r="I295" s="8">
        <f>IF(OR(A295&lt;Inputs!$B$15,G295&lt;=0),0,MIN(Financing!$B$10,G295))</f>
        <v>0</v>
      </c>
      <c r="J295" s="8">
        <f>IF(OR(A295&lt;Inputs!$B$15,H295&lt;=0),0,H295*Inputs!$B$13/12)</f>
        <v>0</v>
      </c>
      <c r="K295" s="8">
        <f>IF(OR(A295&lt;Inputs!$B$15,H295&lt;=0),0,MIN(Financing!$C$10,H295+J295))</f>
        <v>0</v>
      </c>
      <c r="L295" s="8">
        <f t="shared" si="228"/>
        <v>0</v>
      </c>
      <c r="M295" s="8">
        <f t="shared" si="239"/>
        <v>0</v>
      </c>
      <c r="N295" s="8">
        <f t="shared" si="240"/>
        <v>10000</v>
      </c>
      <c r="O295" s="8">
        <f t="shared" si="241"/>
        <v>10000</v>
      </c>
      <c r="P295" s="8">
        <f t="shared" si="229"/>
        <v>24000</v>
      </c>
      <c r="Q295" s="95">
        <f>D295-J295-IF(C295=0,0,Inputs!$B$18)-P295</f>
        <v>63581.82203</v>
      </c>
      <c r="R295" s="8">
        <f>MAX(0,Q295-M295)*Inputs!$B$17</f>
        <v>14623.81907</v>
      </c>
      <c r="S295" s="8">
        <f t="shared" si="230"/>
        <v>0</v>
      </c>
      <c r="T295" s="95">
        <f t="shared" si="231"/>
        <v>703471.7312</v>
      </c>
      <c r="U295" s="8">
        <f>IF(AND(Inputs!$B$79=1,B295="OPEN",A295&gt;=Inputs!$B$82,C295&gt;=$E$10,MOD(C295-$E$10,$E$9)=0),MIN(MAX(0,T295-$E$8)*Inputs!$B$81,MAX(0,H295+J295-K295)),0)</f>
        <v>0</v>
      </c>
      <c r="V295" s="8">
        <f>IF(AND(Inputs!$B$79=1,B295="OPEN",A295&gt;=Inputs!$B$82,C295&gt;=$E$10,MOD(C295-$E$10,$E$9)=0),MIN(MAX(0,MAX(0,T295-$E$8)*Inputs!$B$81-U295),MAX(0,G295-I295)),0)</f>
        <v>0</v>
      </c>
      <c r="W295" s="8">
        <f t="shared" si="232"/>
        <v>0</v>
      </c>
      <c r="X295" s="8">
        <f t="shared" si="233"/>
        <v>0</v>
      </c>
      <c r="Y295" s="8">
        <f t="shared" si="234"/>
        <v>0</v>
      </c>
      <c r="Z295" s="95">
        <f t="shared" si="235"/>
        <v>703471.7312</v>
      </c>
    </row>
    <row r="296">
      <c r="A296" s="8">
        <f t="shared" si="236"/>
        <v>55</v>
      </c>
      <c r="B296" s="96" t="str">
        <f t="array" ref="B296">INDEX('Monthly Base'!$B$5:$B$67,A296+1)</f>
        <v>OPEN</v>
      </c>
      <c r="C296" s="96">
        <f t="array" ref="C296">INDEX('Monthly Base'!$C$5:$C$67,A296+1)</f>
        <v>53</v>
      </c>
      <c r="D296" s="95">
        <f t="array" ref="D296">INDEX('Monthly Base'!$O$5:$O$67,A296+1)</f>
        <v>95143.19492</v>
      </c>
      <c r="E296" s="95">
        <f t="array" ref="E296">INDEX('Monthly Base'!$Y$5:$Y$67,A296+1)</f>
        <v>0</v>
      </c>
      <c r="F296" s="95">
        <f t="shared" si="237"/>
        <v>703471.7312</v>
      </c>
      <c r="G296" s="8">
        <f t="shared" ref="G296:H296" si="294">W295</f>
        <v>0</v>
      </c>
      <c r="H296" s="8">
        <f t="shared" si="294"/>
        <v>0</v>
      </c>
      <c r="I296" s="8">
        <f>IF(OR(A296&lt;Inputs!$B$15,G296&lt;=0),0,MIN(Financing!$B$10,G296))</f>
        <v>0</v>
      </c>
      <c r="J296" s="8">
        <f>IF(OR(A296&lt;Inputs!$B$15,H296&lt;=0),0,H296*Inputs!$B$13/12)</f>
        <v>0</v>
      </c>
      <c r="K296" s="8">
        <f>IF(OR(A296&lt;Inputs!$B$15,H296&lt;=0),0,MIN(Financing!$C$10,H296+J296))</f>
        <v>0</v>
      </c>
      <c r="L296" s="8">
        <f t="shared" si="228"/>
        <v>0</v>
      </c>
      <c r="M296" s="8">
        <f t="shared" si="239"/>
        <v>0</v>
      </c>
      <c r="N296" s="8">
        <f t="shared" si="240"/>
        <v>10000</v>
      </c>
      <c r="O296" s="8">
        <f t="shared" si="241"/>
        <v>10000</v>
      </c>
      <c r="P296" s="8">
        <f t="shared" si="229"/>
        <v>24000</v>
      </c>
      <c r="Q296" s="95">
        <f>D296-J296-IF(C296=0,0,Inputs!$B$18)-P296</f>
        <v>64330.19492</v>
      </c>
      <c r="R296" s="8">
        <f>MAX(0,Q296-M296)*Inputs!$B$17</f>
        <v>14795.94483</v>
      </c>
      <c r="S296" s="8">
        <f t="shared" si="230"/>
        <v>0</v>
      </c>
      <c r="T296" s="95">
        <f t="shared" si="231"/>
        <v>759818.9813</v>
      </c>
      <c r="U296" s="8">
        <f>IF(AND(Inputs!$B$79=1,B296="OPEN",A296&gt;=Inputs!$B$82,C296&gt;=$E$10,MOD(C296-$E$10,$E$9)=0),MIN(MAX(0,T296-$E$8)*Inputs!$B$81,MAX(0,H296+J296-K296)),0)</f>
        <v>0</v>
      </c>
      <c r="V296" s="8">
        <f>IF(AND(Inputs!$B$79=1,B296="OPEN",A296&gt;=Inputs!$B$82,C296&gt;=$E$10,MOD(C296-$E$10,$E$9)=0),MIN(MAX(0,MAX(0,T296-$E$8)*Inputs!$B$81-U296),MAX(0,G296-I296)),0)</f>
        <v>0</v>
      </c>
      <c r="W296" s="8">
        <f t="shared" si="232"/>
        <v>0</v>
      </c>
      <c r="X296" s="8">
        <f t="shared" si="233"/>
        <v>0</v>
      </c>
      <c r="Y296" s="8">
        <f t="shared" si="234"/>
        <v>0</v>
      </c>
      <c r="Z296" s="95">
        <f t="shared" si="235"/>
        <v>759818.9813</v>
      </c>
    </row>
    <row r="297">
      <c r="A297" s="8">
        <f t="shared" si="236"/>
        <v>56</v>
      </c>
      <c r="B297" s="96" t="str">
        <f t="array" ref="B297">INDEX('Monthly Base'!$B$5:$B$67,A297+1)</f>
        <v>OPEN</v>
      </c>
      <c r="C297" s="96">
        <f t="array" ref="C297">INDEX('Monthly Base'!$C$5:$C$67,A297+1)</f>
        <v>54</v>
      </c>
      <c r="D297" s="95">
        <f t="array" ref="D297">INDEX('Monthly Base'!$O$5:$O$67,A297+1)</f>
        <v>95891.5678</v>
      </c>
      <c r="E297" s="95">
        <f t="array" ref="E297">INDEX('Monthly Base'!$Y$5:$Y$67,A297+1)</f>
        <v>0</v>
      </c>
      <c r="F297" s="95">
        <f t="shared" si="237"/>
        <v>759818.9813</v>
      </c>
      <c r="G297" s="8">
        <f t="shared" ref="G297:H297" si="295">W296</f>
        <v>0</v>
      </c>
      <c r="H297" s="8">
        <f t="shared" si="295"/>
        <v>0</v>
      </c>
      <c r="I297" s="8">
        <f>IF(OR(A297&lt;Inputs!$B$15,G297&lt;=0),0,MIN(Financing!$B$10,G297))</f>
        <v>0</v>
      </c>
      <c r="J297" s="8">
        <f>IF(OR(A297&lt;Inputs!$B$15,H297&lt;=0),0,H297*Inputs!$B$13/12)</f>
        <v>0</v>
      </c>
      <c r="K297" s="8">
        <f>IF(OR(A297&lt;Inputs!$B$15,H297&lt;=0),0,MIN(Financing!$C$10,H297+J297))</f>
        <v>0</v>
      </c>
      <c r="L297" s="8">
        <f t="shared" si="228"/>
        <v>0</v>
      </c>
      <c r="M297" s="8">
        <f t="shared" si="239"/>
        <v>0</v>
      </c>
      <c r="N297" s="8">
        <f t="shared" si="240"/>
        <v>10000</v>
      </c>
      <c r="O297" s="8">
        <f t="shared" si="241"/>
        <v>10000</v>
      </c>
      <c r="P297" s="8">
        <f t="shared" si="229"/>
        <v>24000</v>
      </c>
      <c r="Q297" s="95">
        <f>D297-J297-IF(C297=0,0,Inputs!$B$18)-P297</f>
        <v>65078.5678</v>
      </c>
      <c r="R297" s="8">
        <f>MAX(0,Q297-M297)*Inputs!$B$17</f>
        <v>14968.07059</v>
      </c>
      <c r="S297" s="8">
        <f t="shared" si="230"/>
        <v>0</v>
      </c>
      <c r="T297" s="95">
        <f t="shared" si="231"/>
        <v>816742.4785</v>
      </c>
      <c r="U297" s="8">
        <f>IF(AND(Inputs!$B$79=1,B297="OPEN",A297&gt;=Inputs!$B$82,C297&gt;=$E$10,MOD(C297-$E$10,$E$9)=0),MIN(MAX(0,T297-$E$8)*Inputs!$B$81,MAX(0,H297+J297-K297)),0)</f>
        <v>0</v>
      </c>
      <c r="V297" s="8">
        <f>IF(AND(Inputs!$B$79=1,B297="OPEN",A297&gt;=Inputs!$B$82,C297&gt;=$E$10,MOD(C297-$E$10,$E$9)=0),MIN(MAX(0,MAX(0,T297-$E$8)*Inputs!$B$81-U297),MAX(0,G297-I297)),0)</f>
        <v>0</v>
      </c>
      <c r="W297" s="8">
        <f t="shared" si="232"/>
        <v>0</v>
      </c>
      <c r="X297" s="8">
        <f t="shared" si="233"/>
        <v>0</v>
      </c>
      <c r="Y297" s="8">
        <f t="shared" si="234"/>
        <v>0</v>
      </c>
      <c r="Z297" s="95">
        <f t="shared" si="235"/>
        <v>816742.4785</v>
      </c>
    </row>
    <row r="298">
      <c r="A298" s="8">
        <f t="shared" si="236"/>
        <v>57</v>
      </c>
      <c r="B298" s="96" t="str">
        <f t="array" ref="B298">INDEX('Monthly Base'!$B$5:$B$67,A298+1)</f>
        <v>OPEN</v>
      </c>
      <c r="C298" s="96">
        <f t="array" ref="C298">INDEX('Monthly Base'!$C$5:$C$67,A298+1)</f>
        <v>55</v>
      </c>
      <c r="D298" s="95">
        <f t="array" ref="D298">INDEX('Monthly Base'!$O$5:$O$67,A298+1)</f>
        <v>96639.94068</v>
      </c>
      <c r="E298" s="95">
        <f t="array" ref="E298">INDEX('Monthly Base'!$Y$5:$Y$67,A298+1)</f>
        <v>0</v>
      </c>
      <c r="F298" s="95">
        <f t="shared" si="237"/>
        <v>816742.4785</v>
      </c>
      <c r="G298" s="8">
        <f t="shared" ref="G298:H298" si="296">W297</f>
        <v>0</v>
      </c>
      <c r="H298" s="8">
        <f t="shared" si="296"/>
        <v>0</v>
      </c>
      <c r="I298" s="8">
        <f>IF(OR(A298&lt;Inputs!$B$15,G298&lt;=0),0,MIN(Financing!$B$10,G298))</f>
        <v>0</v>
      </c>
      <c r="J298" s="8">
        <f>IF(OR(A298&lt;Inputs!$B$15,H298&lt;=0),0,H298*Inputs!$B$13/12)</f>
        <v>0</v>
      </c>
      <c r="K298" s="8">
        <f>IF(OR(A298&lt;Inputs!$B$15,H298&lt;=0),0,MIN(Financing!$C$10,H298+J298))</f>
        <v>0</v>
      </c>
      <c r="L298" s="8">
        <f t="shared" si="228"/>
        <v>0</v>
      </c>
      <c r="M298" s="8">
        <f t="shared" si="239"/>
        <v>0</v>
      </c>
      <c r="N298" s="8">
        <f t="shared" si="240"/>
        <v>10000</v>
      </c>
      <c r="O298" s="8">
        <f t="shared" si="241"/>
        <v>10000</v>
      </c>
      <c r="P298" s="8">
        <f t="shared" si="229"/>
        <v>24000</v>
      </c>
      <c r="Q298" s="95">
        <f>D298-J298-IF(C298=0,0,Inputs!$B$18)-P298</f>
        <v>65826.94068</v>
      </c>
      <c r="R298" s="8">
        <f>MAX(0,Q298-M298)*Inputs!$B$17</f>
        <v>15140.19636</v>
      </c>
      <c r="S298" s="8">
        <f t="shared" si="230"/>
        <v>0</v>
      </c>
      <c r="T298" s="95">
        <f t="shared" si="231"/>
        <v>874242.2228</v>
      </c>
      <c r="U298" s="8">
        <f>IF(AND(Inputs!$B$79=1,B298="OPEN",A298&gt;=Inputs!$B$82,C298&gt;=$E$10,MOD(C298-$E$10,$E$9)=0),MIN(MAX(0,T298-$E$8)*Inputs!$B$81,MAX(0,H298+J298-K298)),0)</f>
        <v>0</v>
      </c>
      <c r="V298" s="8">
        <f>IF(AND(Inputs!$B$79=1,B298="OPEN",A298&gt;=Inputs!$B$82,C298&gt;=$E$10,MOD(C298-$E$10,$E$9)=0),MIN(MAX(0,MAX(0,T298-$E$8)*Inputs!$B$81-U298),MAX(0,G298-I298)),0)</f>
        <v>0</v>
      </c>
      <c r="W298" s="8">
        <f t="shared" si="232"/>
        <v>0</v>
      </c>
      <c r="X298" s="8">
        <f t="shared" si="233"/>
        <v>0</v>
      </c>
      <c r="Y298" s="8">
        <f t="shared" si="234"/>
        <v>0</v>
      </c>
      <c r="Z298" s="95">
        <f t="shared" si="235"/>
        <v>874242.2228</v>
      </c>
    </row>
    <row r="299">
      <c r="A299" s="8">
        <f t="shared" si="236"/>
        <v>58</v>
      </c>
      <c r="B299" s="96" t="str">
        <f t="array" ref="B299">INDEX('Monthly Base'!$B$5:$B$67,A299+1)</f>
        <v>OPEN</v>
      </c>
      <c r="C299" s="96">
        <f t="array" ref="C299">INDEX('Monthly Base'!$C$5:$C$67,A299+1)</f>
        <v>56</v>
      </c>
      <c r="D299" s="95">
        <f t="array" ref="D299">INDEX('Monthly Base'!$O$5:$O$67,A299+1)</f>
        <v>97388.31356</v>
      </c>
      <c r="E299" s="95">
        <f t="array" ref="E299">INDEX('Monthly Base'!$Y$5:$Y$67,A299+1)</f>
        <v>0</v>
      </c>
      <c r="F299" s="95">
        <f t="shared" si="237"/>
        <v>874242.2228</v>
      </c>
      <c r="G299" s="8">
        <f t="shared" ref="G299:H299" si="297">W298</f>
        <v>0</v>
      </c>
      <c r="H299" s="8">
        <f t="shared" si="297"/>
        <v>0</v>
      </c>
      <c r="I299" s="8">
        <f>IF(OR(A299&lt;Inputs!$B$15,G299&lt;=0),0,MIN(Financing!$B$10,G299))</f>
        <v>0</v>
      </c>
      <c r="J299" s="8">
        <f>IF(OR(A299&lt;Inputs!$B$15,H299&lt;=0),0,H299*Inputs!$B$13/12)</f>
        <v>0</v>
      </c>
      <c r="K299" s="8">
        <f>IF(OR(A299&lt;Inputs!$B$15,H299&lt;=0),0,MIN(Financing!$C$10,H299+J299))</f>
        <v>0</v>
      </c>
      <c r="L299" s="8">
        <f t="shared" si="228"/>
        <v>0</v>
      </c>
      <c r="M299" s="8">
        <f t="shared" si="239"/>
        <v>0</v>
      </c>
      <c r="N299" s="8">
        <f t="shared" si="240"/>
        <v>10000</v>
      </c>
      <c r="O299" s="8">
        <f t="shared" si="241"/>
        <v>10000</v>
      </c>
      <c r="P299" s="8">
        <f t="shared" si="229"/>
        <v>24000</v>
      </c>
      <c r="Q299" s="95">
        <f>D299-J299-IF(C299=0,0,Inputs!$B$18)-P299</f>
        <v>66575.31356</v>
      </c>
      <c r="R299" s="8">
        <f>MAX(0,Q299-M299)*Inputs!$B$17</f>
        <v>15312.32212</v>
      </c>
      <c r="S299" s="8">
        <f t="shared" si="230"/>
        <v>0</v>
      </c>
      <c r="T299" s="95">
        <f t="shared" si="231"/>
        <v>932318.2142</v>
      </c>
      <c r="U299" s="8">
        <f>IF(AND(Inputs!$B$79=1,B299="OPEN",A299&gt;=Inputs!$B$82,C299&gt;=$E$10,MOD(C299-$E$10,$E$9)=0),MIN(MAX(0,T299-$E$8)*Inputs!$B$81,MAX(0,H299+J299-K299)),0)</f>
        <v>0</v>
      </c>
      <c r="V299" s="8">
        <f>IF(AND(Inputs!$B$79=1,B299="OPEN",A299&gt;=Inputs!$B$82,C299&gt;=$E$10,MOD(C299-$E$10,$E$9)=0),MIN(MAX(0,MAX(0,T299-$E$8)*Inputs!$B$81-U299),MAX(0,G299-I299)),0)</f>
        <v>0</v>
      </c>
      <c r="W299" s="8">
        <f t="shared" si="232"/>
        <v>0</v>
      </c>
      <c r="X299" s="8">
        <f t="shared" si="233"/>
        <v>0</v>
      </c>
      <c r="Y299" s="8">
        <f t="shared" si="234"/>
        <v>0</v>
      </c>
      <c r="Z299" s="95">
        <f t="shared" si="235"/>
        <v>932318.2142</v>
      </c>
    </row>
    <row r="300">
      <c r="A300" s="8">
        <f t="shared" si="236"/>
        <v>59</v>
      </c>
      <c r="B300" s="96" t="str">
        <f t="array" ref="B300">INDEX('Monthly Base'!$B$5:$B$67,A300+1)</f>
        <v>OPEN</v>
      </c>
      <c r="C300" s="96">
        <f t="array" ref="C300">INDEX('Monthly Base'!$C$5:$C$67,A300+1)</f>
        <v>57</v>
      </c>
      <c r="D300" s="95">
        <f t="array" ref="D300">INDEX('Monthly Base'!$O$5:$O$67,A300+1)</f>
        <v>98323.77966</v>
      </c>
      <c r="E300" s="95">
        <f t="array" ref="E300">INDEX('Monthly Base'!$Y$5:$Y$67,A300+1)</f>
        <v>0</v>
      </c>
      <c r="F300" s="95">
        <f t="shared" si="237"/>
        <v>932318.2142</v>
      </c>
      <c r="G300" s="8">
        <f t="shared" ref="G300:H300" si="298">W299</f>
        <v>0</v>
      </c>
      <c r="H300" s="8">
        <f t="shared" si="298"/>
        <v>0</v>
      </c>
      <c r="I300" s="8">
        <f>IF(OR(A300&lt;Inputs!$B$15,G300&lt;=0),0,MIN(Financing!$B$10,G300))</f>
        <v>0</v>
      </c>
      <c r="J300" s="8">
        <f>IF(OR(A300&lt;Inputs!$B$15,H300&lt;=0),0,H300*Inputs!$B$13/12)</f>
        <v>0</v>
      </c>
      <c r="K300" s="8">
        <f>IF(OR(A300&lt;Inputs!$B$15,H300&lt;=0),0,MIN(Financing!$C$10,H300+J300))</f>
        <v>0</v>
      </c>
      <c r="L300" s="8">
        <f t="shared" si="228"/>
        <v>0</v>
      </c>
      <c r="M300" s="8">
        <f t="shared" si="239"/>
        <v>0</v>
      </c>
      <c r="N300" s="8">
        <f t="shared" si="240"/>
        <v>10000</v>
      </c>
      <c r="O300" s="8">
        <f t="shared" si="241"/>
        <v>10000</v>
      </c>
      <c r="P300" s="8">
        <f t="shared" si="229"/>
        <v>24000</v>
      </c>
      <c r="Q300" s="95">
        <f>D300-J300-IF(C300=0,0,Inputs!$B$18)-P300</f>
        <v>67510.77966</v>
      </c>
      <c r="R300" s="8">
        <f>MAX(0,Q300-M300)*Inputs!$B$17</f>
        <v>15527.47932</v>
      </c>
      <c r="S300" s="8">
        <f t="shared" si="230"/>
        <v>0</v>
      </c>
      <c r="T300" s="95">
        <f t="shared" si="231"/>
        <v>991114.5146</v>
      </c>
      <c r="U300" s="8">
        <f>IF(AND(Inputs!$B$79=1,B300="OPEN",A300&gt;=Inputs!$B$82,C300&gt;=$E$10,MOD(C300-$E$10,$E$9)=0),MIN(MAX(0,T300-$E$8)*Inputs!$B$81,MAX(0,H300+J300-K300)),0)</f>
        <v>0</v>
      </c>
      <c r="V300" s="8">
        <f>IF(AND(Inputs!$B$79=1,B300="OPEN",A300&gt;=Inputs!$B$82,C300&gt;=$E$10,MOD(C300-$E$10,$E$9)=0),MIN(MAX(0,MAX(0,T300-$E$8)*Inputs!$B$81-U300),MAX(0,G300-I300)),0)</f>
        <v>0</v>
      </c>
      <c r="W300" s="8">
        <f t="shared" si="232"/>
        <v>0</v>
      </c>
      <c r="X300" s="8">
        <f t="shared" si="233"/>
        <v>0</v>
      </c>
      <c r="Y300" s="8">
        <f t="shared" si="234"/>
        <v>0</v>
      </c>
      <c r="Z300" s="95">
        <f t="shared" si="235"/>
        <v>991114.5146</v>
      </c>
    </row>
    <row r="301">
      <c r="A301" s="8">
        <f t="shared" si="236"/>
        <v>60</v>
      </c>
      <c r="B301" s="96" t="str">
        <f t="array" ref="B301">INDEX('Monthly Base'!$B$5:$B$67,A301+1)</f>
        <v>OPEN</v>
      </c>
      <c r="C301" s="96">
        <f t="array" ref="C301">INDEX('Monthly Base'!$C$5:$C$67,A301+1)</f>
        <v>58</v>
      </c>
      <c r="D301" s="95">
        <f t="array" ref="D301">INDEX('Monthly Base'!$O$5:$O$67,A301+1)</f>
        <v>99072.15254</v>
      </c>
      <c r="E301" s="95">
        <f t="array" ref="E301">INDEX('Monthly Base'!$Y$5:$Y$67,A301+1)</f>
        <v>0</v>
      </c>
      <c r="F301" s="95">
        <f t="shared" si="237"/>
        <v>991114.5146</v>
      </c>
      <c r="G301" s="8">
        <f t="shared" ref="G301:H301" si="299">W300</f>
        <v>0</v>
      </c>
      <c r="H301" s="8">
        <f t="shared" si="299"/>
        <v>0</v>
      </c>
      <c r="I301" s="8">
        <f>IF(OR(A301&lt;Inputs!$B$15,G301&lt;=0),0,MIN(Financing!$B$10,G301))</f>
        <v>0</v>
      </c>
      <c r="J301" s="8">
        <f>IF(OR(A301&lt;Inputs!$B$15,H301&lt;=0),0,H301*Inputs!$B$13/12)</f>
        <v>0</v>
      </c>
      <c r="K301" s="8">
        <f>IF(OR(A301&lt;Inputs!$B$15,H301&lt;=0),0,MIN(Financing!$C$10,H301+J301))</f>
        <v>0</v>
      </c>
      <c r="L301" s="8">
        <f t="shared" si="228"/>
        <v>0</v>
      </c>
      <c r="M301" s="8">
        <f t="shared" si="239"/>
        <v>0</v>
      </c>
      <c r="N301" s="8">
        <f t="shared" si="240"/>
        <v>10000</v>
      </c>
      <c r="O301" s="8">
        <f t="shared" si="241"/>
        <v>10000</v>
      </c>
      <c r="P301" s="8">
        <f t="shared" si="229"/>
        <v>24000</v>
      </c>
      <c r="Q301" s="95">
        <f>D301-J301-IF(C301=0,0,Inputs!$B$18)-P301</f>
        <v>68259.15254</v>
      </c>
      <c r="R301" s="8">
        <f>MAX(0,Q301-M301)*Inputs!$B$17</f>
        <v>15699.60508</v>
      </c>
      <c r="S301" s="8">
        <f t="shared" si="230"/>
        <v>0</v>
      </c>
      <c r="T301" s="95">
        <f t="shared" si="231"/>
        <v>1050487.062</v>
      </c>
      <c r="U301" s="8">
        <f>IF(AND(Inputs!$B$79=1,B301="OPEN",A301&gt;=Inputs!$B$82,C301&gt;=$E$10,MOD(C301-$E$10,$E$9)=0),MIN(MAX(0,T301-$E$8)*Inputs!$B$81,MAX(0,H301+J301-K301)),0)</f>
        <v>0</v>
      </c>
      <c r="V301" s="8">
        <f>IF(AND(Inputs!$B$79=1,B301="OPEN",A301&gt;=Inputs!$B$82,C301&gt;=$E$10,MOD(C301-$E$10,$E$9)=0),MIN(MAX(0,MAX(0,T301-$E$8)*Inputs!$B$81-U301),MAX(0,G301-I301)),0)</f>
        <v>0</v>
      </c>
      <c r="W301" s="8">
        <f t="shared" si="232"/>
        <v>0</v>
      </c>
      <c r="X301" s="8">
        <f t="shared" si="233"/>
        <v>0</v>
      </c>
      <c r="Y301" s="8">
        <f t="shared" si="234"/>
        <v>0</v>
      </c>
      <c r="Z301" s="95">
        <f t="shared" si="235"/>
        <v>1050487.062</v>
      </c>
    </row>
    <row r="302">
      <c r="A302" s="8">
        <f t="shared" si="236"/>
        <v>61</v>
      </c>
      <c r="B302" s="96" t="str">
        <f t="array" ref="B302">INDEX('Monthly Base'!$B$5:$B$67,A302+1)</f>
        <v>OPEN</v>
      </c>
      <c r="C302" s="96">
        <f t="array" ref="C302">INDEX('Monthly Base'!$C$5:$C$67,A302+1)</f>
        <v>59</v>
      </c>
      <c r="D302" s="95">
        <f t="array" ref="D302">INDEX('Monthly Base'!$O$5:$O$67,A302+1)</f>
        <v>99820.52542</v>
      </c>
      <c r="E302" s="95">
        <f t="array" ref="E302">INDEX('Monthly Base'!$Y$5:$Y$67,A302+1)</f>
        <v>0</v>
      </c>
      <c r="F302" s="95">
        <f t="shared" si="237"/>
        <v>1050487.062</v>
      </c>
      <c r="G302" s="8">
        <f t="shared" ref="G302:H302" si="300">W301</f>
        <v>0</v>
      </c>
      <c r="H302" s="8">
        <f t="shared" si="300"/>
        <v>0</v>
      </c>
      <c r="I302" s="8">
        <f>IF(OR(A302&lt;Inputs!$B$15,G302&lt;=0),0,MIN(Financing!$B$10,G302))</f>
        <v>0</v>
      </c>
      <c r="J302" s="8">
        <f>IF(OR(A302&lt;Inputs!$B$15,H302&lt;=0),0,H302*Inputs!$B$13/12)</f>
        <v>0</v>
      </c>
      <c r="K302" s="8">
        <f>IF(OR(A302&lt;Inputs!$B$15,H302&lt;=0),0,MIN(Financing!$C$10,H302+J302))</f>
        <v>0</v>
      </c>
      <c r="L302" s="8">
        <f t="shared" si="228"/>
        <v>0</v>
      </c>
      <c r="M302" s="8">
        <f t="shared" si="239"/>
        <v>0</v>
      </c>
      <c r="N302" s="8">
        <f t="shared" si="240"/>
        <v>10000</v>
      </c>
      <c r="O302" s="8">
        <f t="shared" si="241"/>
        <v>10000</v>
      </c>
      <c r="P302" s="8">
        <f t="shared" si="229"/>
        <v>24000</v>
      </c>
      <c r="Q302" s="95">
        <f>D302-J302-IF(C302=0,0,Inputs!$B$18)-P302</f>
        <v>69007.52542</v>
      </c>
      <c r="R302" s="8">
        <f>MAX(0,Q302-M302)*Inputs!$B$17</f>
        <v>15871.73085</v>
      </c>
      <c r="S302" s="8">
        <f t="shared" si="230"/>
        <v>0</v>
      </c>
      <c r="T302" s="95">
        <f t="shared" si="231"/>
        <v>1110435.857</v>
      </c>
      <c r="U302" s="8">
        <f>IF(AND(Inputs!$B$79=1,B302="OPEN",A302&gt;=Inputs!$B$82,C302&gt;=$E$10,MOD(C302-$E$10,$E$9)=0),MIN(MAX(0,T302-$E$8)*Inputs!$B$81,MAX(0,H302+J302-K302)),0)</f>
        <v>0</v>
      </c>
      <c r="V302" s="8">
        <f>IF(AND(Inputs!$B$79=1,B302="OPEN",A302&gt;=Inputs!$B$82,C302&gt;=$E$10,MOD(C302-$E$10,$E$9)=0),MIN(MAX(0,MAX(0,T302-$E$8)*Inputs!$B$81-U302),MAX(0,G302-I302)),0)</f>
        <v>0</v>
      </c>
      <c r="W302" s="8">
        <f t="shared" si="232"/>
        <v>0</v>
      </c>
      <c r="X302" s="8">
        <f t="shared" si="233"/>
        <v>0</v>
      </c>
      <c r="Y302" s="8">
        <f t="shared" si="234"/>
        <v>0</v>
      </c>
      <c r="Z302" s="95">
        <f t="shared" si="235"/>
        <v>1110435.857</v>
      </c>
    </row>
    <row r="303">
      <c r="A303" s="8">
        <f t="shared" si="236"/>
        <v>62</v>
      </c>
      <c r="B303" s="96" t="str">
        <f t="array" ref="B303">INDEX('Monthly Base'!$B$5:$B$67,A303+1)</f>
        <v>OPEN</v>
      </c>
      <c r="C303" s="96">
        <f t="array" ref="C303">INDEX('Monthly Base'!$C$5:$C$67,A303+1)</f>
        <v>60</v>
      </c>
      <c r="D303" s="95">
        <f t="array" ref="D303">INDEX('Monthly Base'!$O$5:$O$67,A303+1)</f>
        <v>100568.8983</v>
      </c>
      <c r="E303" s="95">
        <f t="array" ref="E303">INDEX('Monthly Base'!$Y$5:$Y$67,A303+1)</f>
        <v>0</v>
      </c>
      <c r="F303" s="95">
        <f t="shared" si="237"/>
        <v>1110435.857</v>
      </c>
      <c r="G303" s="8">
        <f t="shared" ref="G303:H303" si="301">W302</f>
        <v>0</v>
      </c>
      <c r="H303" s="8">
        <f t="shared" si="301"/>
        <v>0</v>
      </c>
      <c r="I303" s="8">
        <f>IF(OR(A303&lt;Inputs!$B$15,G303&lt;=0),0,MIN(Financing!$B$10,G303))</f>
        <v>0</v>
      </c>
      <c r="J303" s="8">
        <f>IF(OR(A303&lt;Inputs!$B$15,H303&lt;=0),0,H303*Inputs!$B$13/12)</f>
        <v>0</v>
      </c>
      <c r="K303" s="8">
        <f>IF(OR(A303&lt;Inputs!$B$15,H303&lt;=0),0,MIN(Financing!$C$10,H303+J303))</f>
        <v>0</v>
      </c>
      <c r="L303" s="8">
        <f t="shared" si="228"/>
        <v>0</v>
      </c>
      <c r="M303" s="8">
        <f t="shared" si="239"/>
        <v>0</v>
      </c>
      <c r="N303" s="8">
        <f t="shared" si="240"/>
        <v>10000</v>
      </c>
      <c r="O303" s="8">
        <f t="shared" si="241"/>
        <v>10000</v>
      </c>
      <c r="P303" s="8">
        <f t="shared" si="229"/>
        <v>24000</v>
      </c>
      <c r="Q303" s="95">
        <f>D303-J303-IF(C303=0,0,Inputs!$B$18)-P303</f>
        <v>69755.89831</v>
      </c>
      <c r="R303" s="8">
        <f>MAX(0,Q303-M303)*Inputs!$B$17</f>
        <v>16043.85661</v>
      </c>
      <c r="S303" s="8">
        <f t="shared" si="230"/>
        <v>0</v>
      </c>
      <c r="T303" s="95">
        <f t="shared" si="231"/>
        <v>1170960.898</v>
      </c>
      <c r="U303" s="8">
        <f>IF(AND(Inputs!$B$79=1,B303="OPEN",A303&gt;=Inputs!$B$82,C303&gt;=$E$10,MOD(C303-$E$10,$E$9)=0),MIN(MAX(0,T303-$E$8)*Inputs!$B$81,MAX(0,H303+J303-K303)),0)</f>
        <v>0</v>
      </c>
      <c r="V303" s="8">
        <f>IF(AND(Inputs!$B$79=1,B303="OPEN",A303&gt;=Inputs!$B$82,C303&gt;=$E$10,MOD(C303-$E$10,$E$9)=0),MIN(MAX(0,MAX(0,T303-$E$8)*Inputs!$B$81-U303),MAX(0,G303-I303)),0)</f>
        <v>0</v>
      </c>
      <c r="W303" s="8">
        <f t="shared" si="232"/>
        <v>0</v>
      </c>
      <c r="X303" s="8">
        <f t="shared" si="233"/>
        <v>0</v>
      </c>
      <c r="Y303" s="8">
        <f t="shared" si="234"/>
        <v>0</v>
      </c>
      <c r="Z303" s="95">
        <f t="shared" si="235"/>
        <v>1170960.898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0.13"/>
    <col customWidth="1" min="2" max="4" width="11.38"/>
    <col customWidth="1" min="5" max="18" width="15.75"/>
    <col customWidth="1" min="19" max="20" width="13.88"/>
  </cols>
  <sheetData>
    <row r="1" ht="24.0" customHeight="1">
      <c r="A1" s="97" t="s">
        <v>558</v>
      </c>
    </row>
    <row r="2" ht="33.0" customHeight="1">
      <c r="A2" s="52" t="s">
        <v>559</v>
      </c>
    </row>
    <row r="4">
      <c r="A4" s="98" t="s">
        <v>361</v>
      </c>
      <c r="B4" s="98" t="s">
        <v>362</v>
      </c>
      <c r="C4" s="98" t="s">
        <v>349</v>
      </c>
      <c r="D4" s="99">
        <f>Inputs!$B$80</f>
        <v>150000</v>
      </c>
      <c r="E4" s="98" t="s">
        <v>387</v>
      </c>
      <c r="F4" s="98">
        <f>'Owner Pay'!$B$9</f>
        <v>42</v>
      </c>
      <c r="G4" s="98" t="s">
        <v>391</v>
      </c>
      <c r="H4" s="98" t="s">
        <v>560</v>
      </c>
      <c r="I4" s="98" t="s">
        <v>561</v>
      </c>
      <c r="J4" s="98" t="s">
        <v>364</v>
      </c>
    </row>
    <row r="5" ht="33.0" customHeight="1">
      <c r="A5" s="100" t="s">
        <v>562</v>
      </c>
    </row>
    <row r="6" ht="31.5" customHeight="1">
      <c r="A6" s="101" t="s">
        <v>304</v>
      </c>
      <c r="B6" s="101" t="s">
        <v>316</v>
      </c>
      <c r="C6" s="101" t="s">
        <v>317</v>
      </c>
      <c r="D6" s="101" t="s">
        <v>321</v>
      </c>
      <c r="E6" s="101" t="s">
        <v>563</v>
      </c>
      <c r="F6" s="101" t="s">
        <v>564</v>
      </c>
      <c r="G6" s="101" t="s">
        <v>341</v>
      </c>
      <c r="H6" s="101" t="s">
        <v>565</v>
      </c>
      <c r="I6" s="101" t="s">
        <v>566</v>
      </c>
      <c r="J6" s="101" t="s">
        <v>567</v>
      </c>
      <c r="K6" s="101" t="s">
        <v>568</v>
      </c>
      <c r="L6" s="101" t="s">
        <v>484</v>
      </c>
      <c r="M6" s="101" t="s">
        <v>569</v>
      </c>
      <c r="N6" s="101" t="s">
        <v>570</v>
      </c>
      <c r="O6" s="101" t="s">
        <v>571</v>
      </c>
      <c r="P6" s="101" t="s">
        <v>572</v>
      </c>
      <c r="Q6" s="101" t="s">
        <v>573</v>
      </c>
      <c r="R6" s="101" t="s">
        <v>574</v>
      </c>
      <c r="S6" s="101" t="s">
        <v>575</v>
      </c>
      <c r="T6" s="101" t="s">
        <v>576</v>
      </c>
    </row>
    <row r="7">
      <c r="A7" s="64">
        <f t="shared" ref="A7:A69" si="1">ROW()-7</f>
        <v>0</v>
      </c>
      <c r="B7" s="64" t="str">
        <f t="array" ref="B7">INDEX('Owner Pay'!$B$21:$B$83,A7+1)</f>
        <v>BUILD</v>
      </c>
      <c r="C7" s="64">
        <f t="array" ref="C7">INDEX('Owner Pay'!$C$21:$C$83,A7+1)</f>
        <v>0</v>
      </c>
      <c r="D7" s="64">
        <f t="array" ref="D7">INDEX('Monthly Base'!$G$5:$G$67,A7+1)</f>
        <v>0</v>
      </c>
      <c r="E7" s="63">
        <f t="array" ref="E7">INDEX('Monthly Base'!$I$5:$I$67,A7+1)</f>
        <v>0</v>
      </c>
      <c r="F7" s="63">
        <f t="array" ref="F7">INDEX('Monthly Base'!$J$5:$J$67,A7+1)</f>
        <v>0</v>
      </c>
      <c r="G7" s="63">
        <f t="array" ref="G7">INDEX('Owner Pay'!$E$21:$E$83,A7+1)</f>
        <v>0</v>
      </c>
      <c r="H7" s="63">
        <f t="shared" ref="H7:H69" si="2">SUM(E7:G7)</f>
        <v>0</v>
      </c>
      <c r="I7" s="63">
        <f t="array" ref="I7">E7+F7-INDEX('Owner Pay'!$D$21:$D$83,A7+1)</f>
        <v>20018</v>
      </c>
      <c r="J7" s="63">
        <f t="array" ref="J7">INDEX('Owner Pay'!$L$21:$L$83,A7+1)</f>
        <v>0</v>
      </c>
      <c r="K7" s="63">
        <f t="array" ref="K7">INDEX('Owner Pay'!$U$21:$U$83,A7+1)+INDEX('Owner Pay'!$V$21:$V$83,A7+1)</f>
        <v>0</v>
      </c>
      <c r="L7" s="63">
        <f t="array" ref="L7">INDEX('Owner Pay'!$R$21:$R$83,A7+1)</f>
        <v>0</v>
      </c>
      <c r="M7" s="63">
        <f t="array" ref="M7">INDEX('Owner Pay'!$P$21:$P$83,A7+1)</f>
        <v>0</v>
      </c>
      <c r="N7" s="63">
        <f t="shared" ref="N7:N69" si="3">SUM(I7:M7)</f>
        <v>20018</v>
      </c>
      <c r="O7" s="63">
        <f t="shared" ref="O7:O69" si="4">H7-N7</f>
        <v>-20018</v>
      </c>
      <c r="P7" s="63">
        <f t="array" ref="P7">INDEX('Owner Pay'!$F$21:$F$83,A7+1)</f>
        <v>68990.0014</v>
      </c>
      <c r="Q7" s="63">
        <f t="array" ref="Q7">INDEX('Owner Pay'!$Z$21:$Z$83,A7+1)</f>
        <v>48972.0014</v>
      </c>
      <c r="R7" s="63">
        <f t="array" ref="R7">INDEX('Owner Pay'!$Y$21:$Y$83,A7+1)</f>
        <v>1140000</v>
      </c>
      <c r="S7" s="62" t="str">
        <f t="array" ref="S7">INDEX('Monthly Base'!$AD$5:$AD$67,A7+1)</f>
        <v>Funding month 0</v>
      </c>
      <c r="T7" s="62" t="str">
        <f>IF(C7=0,"BUILD",IF(Q7&lt;Inputs!$B$80,"BELOW RESERVE","OK"))</f>
        <v>BUILD</v>
      </c>
    </row>
    <row r="8">
      <c r="A8" s="64">
        <f t="shared" si="1"/>
        <v>1</v>
      </c>
      <c r="B8" s="64" t="str">
        <f t="array" ref="B8">INDEX('Owner Pay'!$B$21:$B$83,A8+1)</f>
        <v>BUILD</v>
      </c>
      <c r="C8" s="64">
        <f t="array" ref="C8">INDEX('Owner Pay'!$C$21:$C$83,A8+1)</f>
        <v>0</v>
      </c>
      <c r="D8" s="64">
        <f t="array" ref="D8">INDEX('Monthly Base'!$G$5:$G$67,A8+1)</f>
        <v>0</v>
      </c>
      <c r="E8" s="63">
        <f t="array" ref="E8">INDEX('Monthly Base'!$I$5:$I$67,A8+1)</f>
        <v>0</v>
      </c>
      <c r="F8" s="63">
        <f t="array" ref="F8">INDEX('Monthly Base'!$J$5:$J$67,A8+1)</f>
        <v>0</v>
      </c>
      <c r="G8" s="63">
        <f t="array" ref="G8">INDEX('Owner Pay'!$E$21:$E$83,A8+1)</f>
        <v>0</v>
      </c>
      <c r="H8" s="63">
        <f t="shared" si="2"/>
        <v>0</v>
      </c>
      <c r="I8" s="63">
        <f t="array" ref="I8">E8+F8-INDEX('Owner Pay'!$D$21:$D$83,A8+1)</f>
        <v>20018</v>
      </c>
      <c r="J8" s="63">
        <f t="array" ref="J8">INDEX('Owner Pay'!$L$21:$L$83,A8+1)</f>
        <v>0</v>
      </c>
      <c r="K8" s="63">
        <f t="array" ref="K8">INDEX('Owner Pay'!$U$21:$U$83,A8+1)+INDEX('Owner Pay'!$V$21:$V$83,A8+1)</f>
        <v>0</v>
      </c>
      <c r="L8" s="63">
        <f t="array" ref="L8">INDEX('Owner Pay'!$R$21:$R$83,A8+1)</f>
        <v>0</v>
      </c>
      <c r="M8" s="63">
        <f t="array" ref="M8">INDEX('Owner Pay'!$P$21:$P$83,A8+1)</f>
        <v>0</v>
      </c>
      <c r="N8" s="63">
        <f t="shared" si="3"/>
        <v>20018</v>
      </c>
      <c r="O8" s="63">
        <f t="shared" si="4"/>
        <v>-20018</v>
      </c>
      <c r="P8" s="63">
        <f t="array" ref="P8">INDEX('Owner Pay'!$F$21:$F$83,A8+1)</f>
        <v>48972.0014</v>
      </c>
      <c r="Q8" s="63">
        <f t="array" ref="Q8">INDEX('Owner Pay'!$Z$21:$Z$83,A8+1)</f>
        <v>28954.0014</v>
      </c>
      <c r="R8" s="63">
        <f t="array" ref="R8">INDEX('Owner Pay'!$Y$21:$Y$83,A8+1)</f>
        <v>1140000</v>
      </c>
      <c r="S8" s="62" t="str">
        <f t="array" ref="S8">INDEX('Monthly Base'!$AD$5:$AD$67,A8+1)</f>
        <v/>
      </c>
      <c r="T8" s="62" t="str">
        <f>IF(C8=0,"BUILD",IF(Q8&lt;Inputs!$B$80,"BELOW RESERVE","OK"))</f>
        <v>BUILD</v>
      </c>
    </row>
    <row r="9">
      <c r="A9" s="64">
        <f t="shared" si="1"/>
        <v>2</v>
      </c>
      <c r="B9" s="64" t="str">
        <f t="array" ref="B9">INDEX('Owner Pay'!$B$21:$B$83,A9+1)</f>
        <v>BUILD</v>
      </c>
      <c r="C9" s="64">
        <f t="array" ref="C9">INDEX('Owner Pay'!$C$21:$C$83,A9+1)</f>
        <v>0</v>
      </c>
      <c r="D9" s="64">
        <f t="array" ref="D9">INDEX('Monthly Base'!$G$5:$G$67,A9+1)</f>
        <v>0</v>
      </c>
      <c r="E9" s="63">
        <f t="array" ref="E9">INDEX('Monthly Base'!$I$5:$I$67,A9+1)</f>
        <v>0</v>
      </c>
      <c r="F9" s="63">
        <f t="array" ref="F9">INDEX('Monthly Base'!$J$5:$J$67,A9+1)</f>
        <v>0</v>
      </c>
      <c r="G9" s="63">
        <f t="array" ref="G9">INDEX('Owner Pay'!$E$21:$E$83,A9+1)</f>
        <v>151933.7286</v>
      </c>
      <c r="H9" s="63">
        <f t="shared" si="2"/>
        <v>151933.7286</v>
      </c>
      <c r="I9" s="63">
        <f t="array" ref="I9">E9+F9-INDEX('Owner Pay'!$D$21:$D$83,A9+1)</f>
        <v>20018</v>
      </c>
      <c r="J9" s="63">
        <f t="array" ref="J9">INDEX('Owner Pay'!$L$21:$L$83,A9+1)</f>
        <v>0</v>
      </c>
      <c r="K9" s="63">
        <f t="array" ref="K9">INDEX('Owner Pay'!$U$21:$U$83,A9+1)+INDEX('Owner Pay'!$V$21:$V$83,A9+1)</f>
        <v>0</v>
      </c>
      <c r="L9" s="63">
        <f t="array" ref="L9">INDEX('Owner Pay'!$R$21:$R$83,A9+1)</f>
        <v>0</v>
      </c>
      <c r="M9" s="63">
        <f t="array" ref="M9">INDEX('Owner Pay'!$P$21:$P$83,A9+1)</f>
        <v>0</v>
      </c>
      <c r="N9" s="63">
        <f t="shared" si="3"/>
        <v>20018</v>
      </c>
      <c r="O9" s="63">
        <f t="shared" si="4"/>
        <v>131915.7286</v>
      </c>
      <c r="P9" s="63">
        <f t="array" ref="P9">INDEX('Owner Pay'!$F$21:$F$83,A9+1)</f>
        <v>28954.0014</v>
      </c>
      <c r="Q9" s="63">
        <f t="array" ref="Q9">INDEX('Owner Pay'!$Z$21:$Z$83,A9+1)</f>
        <v>160869.73</v>
      </c>
      <c r="R9" s="63">
        <f t="array" ref="R9">INDEX('Owner Pay'!$Y$21:$Y$83,A9+1)</f>
        <v>1140000</v>
      </c>
      <c r="S9" s="62" t="str">
        <f t="array" ref="S9">INDEX('Monthly Base'!$AD$5:$AD$67,A9+1)</f>
        <v/>
      </c>
      <c r="T9" s="62" t="str">
        <f>IF(C9=0,"BUILD",IF(Q9&lt;Inputs!$B$80,"BELOW RESERVE","OK"))</f>
        <v>BUILD</v>
      </c>
    </row>
    <row r="10">
      <c r="A10" s="64">
        <f t="shared" si="1"/>
        <v>3</v>
      </c>
      <c r="B10" s="64" t="str">
        <f t="array" ref="B10">INDEX('Owner Pay'!$B$21:$B$83,A10+1)</f>
        <v>OPEN</v>
      </c>
      <c r="C10" s="64">
        <f t="array" ref="C10">INDEX('Owner Pay'!$C$21:$C$83,A10+1)</f>
        <v>1</v>
      </c>
      <c r="D10" s="64">
        <f t="array" ref="D10">INDEX('Monthly Base'!$G$5:$G$67,A10+1)</f>
        <v>238</v>
      </c>
      <c r="E10" s="63">
        <f t="array" ref="E10">INDEX('Monthly Base'!$I$5:$I$67,A10+1)</f>
        <v>53074</v>
      </c>
      <c r="F10" s="63">
        <f t="array" ref="F10">INDEX('Monthly Base'!$J$5:$J$67,A10+1)</f>
        <v>6500</v>
      </c>
      <c r="G10" s="63">
        <f t="array" ref="G10">INDEX('Owner Pay'!$E$21:$E$83,A10+1)</f>
        <v>0</v>
      </c>
      <c r="H10" s="63">
        <f t="shared" si="2"/>
        <v>59574</v>
      </c>
      <c r="I10" s="63">
        <f t="array" ref="I10">E10+F10-INDEX('Owner Pay'!$D$21:$D$83,A10+1)</f>
        <v>73506.15254</v>
      </c>
      <c r="J10" s="63">
        <f t="array" ref="J10">INDEX('Owner Pay'!$L$21:$L$83,A10+1)</f>
        <v>0</v>
      </c>
      <c r="K10" s="63">
        <f t="array" ref="K10">INDEX('Owner Pay'!$U$21:$U$83,A10+1)+INDEX('Owner Pay'!$V$21:$V$83,A10+1)</f>
        <v>0</v>
      </c>
      <c r="L10" s="63">
        <f t="array" ref="L10">INDEX('Owner Pay'!$R$21:$R$83,A10+1)</f>
        <v>0</v>
      </c>
      <c r="M10" s="63">
        <f t="array" ref="M10">INDEX('Owner Pay'!$P$21:$P$83,A10+1)</f>
        <v>0</v>
      </c>
      <c r="N10" s="63">
        <f t="shared" si="3"/>
        <v>73506.15254</v>
      </c>
      <c r="O10" s="63">
        <f t="shared" si="4"/>
        <v>-13932.15254</v>
      </c>
      <c r="P10" s="63">
        <f t="array" ref="P10">INDEX('Owner Pay'!$F$21:$F$83,A10+1)</f>
        <v>160869.73</v>
      </c>
      <c r="Q10" s="63">
        <f t="array" ref="Q10">INDEX('Owner Pay'!$Z$21:$Z$83,A10+1)</f>
        <v>146937.5775</v>
      </c>
      <c r="R10" s="63">
        <f t="array" ref="R10">INDEX('Owner Pay'!$Y$21:$Y$83,A10+1)</f>
        <v>1140000</v>
      </c>
      <c r="S10" s="62" t="str">
        <f t="array" ref="S10">INDEX('Monthly Base'!$AD$5:$AD$67,A10+1)</f>
        <v>REOPEN</v>
      </c>
      <c r="T10" s="62" t="str">
        <f>IF(C10=0,"BUILD",IF(Q10&lt;Inputs!$B$80,"BELOW RESERVE","OK"))</f>
        <v>BELOW RESERVE</v>
      </c>
    </row>
    <row r="11">
      <c r="A11" s="64">
        <f t="shared" si="1"/>
        <v>4</v>
      </c>
      <c r="B11" s="64" t="str">
        <f t="array" ref="B11">INDEX('Owner Pay'!$B$21:$B$83,A11+1)</f>
        <v>OPEN</v>
      </c>
      <c r="C11" s="64">
        <f t="array" ref="C11">INDEX('Owner Pay'!$C$21:$C$83,A11+1)</f>
        <v>2</v>
      </c>
      <c r="D11" s="64">
        <f t="array" ref="D11">INDEX('Monthly Base'!$G$5:$G$67,A11+1)</f>
        <v>257</v>
      </c>
      <c r="E11" s="63">
        <f t="array" ref="E11">INDEX('Monthly Base'!$I$5:$I$67,A11+1)</f>
        <v>57311</v>
      </c>
      <c r="F11" s="63">
        <f t="array" ref="F11">INDEX('Monthly Base'!$J$5:$J$67,A11+1)</f>
        <v>6500</v>
      </c>
      <c r="G11" s="63">
        <f t="array" ref="G11">INDEX('Owner Pay'!$E$21:$E$83,A11+1)</f>
        <v>0</v>
      </c>
      <c r="H11" s="63">
        <f t="shared" si="2"/>
        <v>63811</v>
      </c>
      <c r="I11" s="63">
        <f t="array" ref="I11">E11+F11-INDEX('Owner Pay'!$D$21:$D$83,A11+1)</f>
        <v>74188.38136</v>
      </c>
      <c r="J11" s="63">
        <f t="array" ref="J11">INDEX('Owner Pay'!$L$21:$L$83,A11+1)</f>
        <v>0</v>
      </c>
      <c r="K11" s="63">
        <f t="array" ref="K11">INDEX('Owner Pay'!$U$21:$U$83,A11+1)+INDEX('Owner Pay'!$V$21:$V$83,A11+1)</f>
        <v>0</v>
      </c>
      <c r="L11" s="63">
        <f t="array" ref="L11">INDEX('Owner Pay'!$R$21:$R$83,A11+1)</f>
        <v>0</v>
      </c>
      <c r="M11" s="63">
        <f t="array" ref="M11">INDEX('Owner Pay'!$P$21:$P$83,A11+1)</f>
        <v>0</v>
      </c>
      <c r="N11" s="63">
        <f t="shared" si="3"/>
        <v>74188.38136</v>
      </c>
      <c r="O11" s="63">
        <f t="shared" si="4"/>
        <v>-10377.38136</v>
      </c>
      <c r="P11" s="63">
        <f t="array" ref="P11">INDEX('Owner Pay'!$F$21:$F$83,A11+1)</f>
        <v>146937.5775</v>
      </c>
      <c r="Q11" s="63">
        <f t="array" ref="Q11">INDEX('Owner Pay'!$Z$21:$Z$83,A11+1)</f>
        <v>136560.1961</v>
      </c>
      <c r="R11" s="63">
        <f t="array" ref="R11">INDEX('Owner Pay'!$Y$21:$Y$83,A11+1)</f>
        <v>1140000</v>
      </c>
      <c r="S11" s="62" t="str">
        <f t="array" ref="S11">INDEX('Monthly Base'!$AD$5:$AD$67,A11+1)</f>
        <v/>
      </c>
      <c r="T11" s="62" t="str">
        <f>IF(C11=0,"BUILD",IF(Q11&lt;Inputs!$B$80,"BELOW RESERVE","OK"))</f>
        <v>BELOW RESERVE</v>
      </c>
    </row>
    <row r="12">
      <c r="A12" s="64">
        <f t="shared" si="1"/>
        <v>5</v>
      </c>
      <c r="B12" s="64" t="str">
        <f t="array" ref="B12">INDEX('Owner Pay'!$B$21:$B$83,A12+1)</f>
        <v>OPEN</v>
      </c>
      <c r="C12" s="64">
        <f t="array" ref="C12">INDEX('Owner Pay'!$C$21:$C$83,A12+1)</f>
        <v>3</v>
      </c>
      <c r="D12" s="64">
        <f t="array" ref="D12">INDEX('Monthly Base'!$G$5:$G$67,A12+1)</f>
        <v>277</v>
      </c>
      <c r="E12" s="63">
        <f t="array" ref="E12">INDEX('Monthly Base'!$I$5:$I$67,A12+1)</f>
        <v>61771</v>
      </c>
      <c r="F12" s="63">
        <f t="array" ref="F12">INDEX('Monthly Base'!$J$5:$J$67,A12+1)</f>
        <v>6500</v>
      </c>
      <c r="G12" s="63">
        <f t="array" ref="G12">INDEX('Owner Pay'!$E$21:$E$83,A12+1)</f>
        <v>0</v>
      </c>
      <c r="H12" s="63">
        <f t="shared" si="2"/>
        <v>68271</v>
      </c>
      <c r="I12" s="63">
        <f t="array" ref="I12">E12+F12-INDEX('Owner Pay'!$D$21:$D$83,A12+1)</f>
        <v>74906.51695</v>
      </c>
      <c r="J12" s="63">
        <f t="array" ref="J12">INDEX('Owner Pay'!$L$21:$L$83,A12+1)</f>
        <v>0</v>
      </c>
      <c r="K12" s="63">
        <f t="array" ref="K12">INDEX('Owner Pay'!$U$21:$U$83,A12+1)+INDEX('Owner Pay'!$V$21:$V$83,A12+1)</f>
        <v>0</v>
      </c>
      <c r="L12" s="63">
        <f t="array" ref="L12">INDEX('Owner Pay'!$R$21:$R$83,A12+1)</f>
        <v>0</v>
      </c>
      <c r="M12" s="63">
        <f t="array" ref="M12">INDEX('Owner Pay'!$P$21:$P$83,A12+1)</f>
        <v>0</v>
      </c>
      <c r="N12" s="63">
        <f t="shared" si="3"/>
        <v>74906.51695</v>
      </c>
      <c r="O12" s="63">
        <f t="shared" si="4"/>
        <v>-6635.516949</v>
      </c>
      <c r="P12" s="63">
        <f t="array" ref="P12">INDEX('Owner Pay'!$F$21:$F$83,A12+1)</f>
        <v>136560.1961</v>
      </c>
      <c r="Q12" s="63">
        <f t="array" ref="Q12">INDEX('Owner Pay'!$Z$21:$Z$83,A12+1)</f>
        <v>129924.6792</v>
      </c>
      <c r="R12" s="63">
        <f t="array" ref="R12">INDEX('Owner Pay'!$Y$21:$Y$83,A12+1)</f>
        <v>1140000</v>
      </c>
      <c r="S12" s="62" t="str">
        <f t="array" ref="S12">INDEX('Monthly Base'!$AD$5:$AD$67,A12+1)</f>
        <v/>
      </c>
      <c r="T12" s="62" t="str">
        <f>IF(C12=0,"BUILD",IF(Q12&lt;Inputs!$B$80,"BELOW RESERVE","OK"))</f>
        <v>BELOW RESERVE</v>
      </c>
    </row>
    <row r="13">
      <c r="A13" s="64">
        <f t="shared" si="1"/>
        <v>6</v>
      </c>
      <c r="B13" s="64" t="str">
        <f t="array" ref="B13">INDEX('Owner Pay'!$B$21:$B$83,A13+1)</f>
        <v>OPEN</v>
      </c>
      <c r="C13" s="64">
        <f t="array" ref="C13">INDEX('Owner Pay'!$C$21:$C$83,A13+1)</f>
        <v>4</v>
      </c>
      <c r="D13" s="64">
        <f t="array" ref="D13">INDEX('Monthly Base'!$G$5:$G$67,A13+1)</f>
        <v>296</v>
      </c>
      <c r="E13" s="63">
        <f t="array" ref="E13">INDEX('Monthly Base'!$I$5:$I$67,A13+1)</f>
        <v>66008</v>
      </c>
      <c r="F13" s="63">
        <f t="array" ref="F13">INDEX('Monthly Base'!$J$5:$J$67,A13+1)</f>
        <v>6500</v>
      </c>
      <c r="G13" s="63">
        <f t="array" ref="G13">INDEX('Owner Pay'!$E$21:$E$83,A13+1)</f>
        <v>0</v>
      </c>
      <c r="H13" s="63">
        <f t="shared" si="2"/>
        <v>72508</v>
      </c>
      <c r="I13" s="63">
        <f t="array" ref="I13">E13+F13-INDEX('Owner Pay'!$D$21:$D$83,A13+1)</f>
        <v>75588.74576</v>
      </c>
      <c r="J13" s="63">
        <f t="array" ref="J13">INDEX('Owner Pay'!$L$21:$L$83,A13+1)</f>
        <v>0</v>
      </c>
      <c r="K13" s="63">
        <f t="array" ref="K13">INDEX('Owner Pay'!$U$21:$U$83,A13+1)+INDEX('Owner Pay'!$V$21:$V$83,A13+1)</f>
        <v>0</v>
      </c>
      <c r="L13" s="63">
        <f t="array" ref="L13">INDEX('Owner Pay'!$R$21:$R$83,A13+1)</f>
        <v>0</v>
      </c>
      <c r="M13" s="63">
        <f t="array" ref="M13">INDEX('Owner Pay'!$P$21:$P$83,A13+1)</f>
        <v>0</v>
      </c>
      <c r="N13" s="63">
        <f t="shared" si="3"/>
        <v>75588.74576</v>
      </c>
      <c r="O13" s="63">
        <f t="shared" si="4"/>
        <v>-3080.745763</v>
      </c>
      <c r="P13" s="63">
        <f t="array" ref="P13">INDEX('Owner Pay'!$F$21:$F$83,A13+1)</f>
        <v>129924.6792</v>
      </c>
      <c r="Q13" s="63">
        <f t="array" ref="Q13">INDEX('Owner Pay'!$Z$21:$Z$83,A13+1)</f>
        <v>126843.9334</v>
      </c>
      <c r="R13" s="63">
        <f t="array" ref="R13">INDEX('Owner Pay'!$Y$21:$Y$83,A13+1)</f>
        <v>1140000</v>
      </c>
      <c r="S13" s="62" t="str">
        <f t="array" ref="S13">INDEX('Monthly Base'!$AD$5:$AD$67,A13+1)</f>
        <v/>
      </c>
      <c r="T13" s="62" t="str">
        <f>IF(C13=0,"BUILD",IF(Q13&lt;Inputs!$B$80,"BELOW RESERVE","OK"))</f>
        <v>BELOW RESERVE</v>
      </c>
    </row>
    <row r="14">
      <c r="A14" s="64">
        <f t="shared" si="1"/>
        <v>7</v>
      </c>
      <c r="B14" s="64" t="str">
        <f t="array" ref="B14">INDEX('Owner Pay'!$B$21:$B$83,A14+1)</f>
        <v>OPEN</v>
      </c>
      <c r="C14" s="64">
        <f t="array" ref="C14">INDEX('Owner Pay'!$C$21:$C$83,A14+1)</f>
        <v>5</v>
      </c>
      <c r="D14" s="64">
        <f t="array" ref="D14">INDEX('Monthly Base'!$G$5:$G$67,A14+1)</f>
        <v>315</v>
      </c>
      <c r="E14" s="63">
        <f t="array" ref="E14">INDEX('Monthly Base'!$I$5:$I$67,A14+1)</f>
        <v>70245</v>
      </c>
      <c r="F14" s="63">
        <f t="array" ref="F14">INDEX('Monthly Base'!$J$5:$J$67,A14+1)</f>
        <v>6500</v>
      </c>
      <c r="G14" s="63">
        <f t="array" ref="G14">INDEX('Owner Pay'!$E$21:$E$83,A14+1)</f>
        <v>0</v>
      </c>
      <c r="H14" s="63">
        <f t="shared" si="2"/>
        <v>76745</v>
      </c>
      <c r="I14" s="63">
        <f t="array" ref="I14">E14+F14-INDEX('Owner Pay'!$D$21:$D$83,A14+1)</f>
        <v>76270.97458</v>
      </c>
      <c r="J14" s="63">
        <f t="array" ref="J14">INDEX('Owner Pay'!$L$21:$L$83,A14+1)</f>
        <v>0</v>
      </c>
      <c r="K14" s="63">
        <f t="array" ref="K14">INDEX('Owner Pay'!$U$21:$U$83,A14+1)+INDEX('Owner Pay'!$V$21:$V$83,A14+1)</f>
        <v>0</v>
      </c>
      <c r="L14" s="63">
        <f t="array" ref="L14">INDEX('Owner Pay'!$R$21:$R$83,A14+1)</f>
        <v>0</v>
      </c>
      <c r="M14" s="63">
        <f t="array" ref="M14">INDEX('Owner Pay'!$P$21:$P$83,A14+1)</f>
        <v>0</v>
      </c>
      <c r="N14" s="63">
        <f t="shared" si="3"/>
        <v>76270.97458</v>
      </c>
      <c r="O14" s="63">
        <f t="shared" si="4"/>
        <v>474.0254237</v>
      </c>
      <c r="P14" s="63">
        <f t="array" ref="P14">INDEX('Owner Pay'!$F$21:$F$83,A14+1)</f>
        <v>126843.9334</v>
      </c>
      <c r="Q14" s="63">
        <f t="array" ref="Q14">INDEX('Owner Pay'!$Z$21:$Z$83,A14+1)</f>
        <v>127317.9588</v>
      </c>
      <c r="R14" s="63">
        <f t="array" ref="R14">INDEX('Owner Pay'!$Y$21:$Y$83,A14+1)</f>
        <v>1140000</v>
      </c>
      <c r="S14" s="62" t="str">
        <f t="array" ref="S14">INDEX('Monthly Base'!$AD$5:$AD$67,A14+1)</f>
        <v/>
      </c>
      <c r="T14" s="62" t="str">
        <f>IF(C14=0,"BUILD",IF(Q14&lt;Inputs!$B$80,"BELOW RESERVE","OK"))</f>
        <v>BELOW RESERVE</v>
      </c>
    </row>
    <row r="15">
      <c r="A15" s="64">
        <f t="shared" si="1"/>
        <v>8</v>
      </c>
      <c r="B15" s="64" t="str">
        <f t="array" ref="B15">INDEX('Owner Pay'!$B$21:$B$83,A15+1)</f>
        <v>OPEN</v>
      </c>
      <c r="C15" s="64">
        <f t="array" ref="C15">INDEX('Owner Pay'!$C$21:$C$83,A15+1)</f>
        <v>6</v>
      </c>
      <c r="D15" s="64">
        <f t="array" ref="D15">INDEX('Monthly Base'!$G$5:$G$67,A15+1)</f>
        <v>334</v>
      </c>
      <c r="E15" s="63">
        <f t="array" ref="E15">INDEX('Monthly Base'!$I$5:$I$67,A15+1)</f>
        <v>74482</v>
      </c>
      <c r="F15" s="63">
        <f t="array" ref="F15">INDEX('Monthly Base'!$J$5:$J$67,A15+1)</f>
        <v>6500</v>
      </c>
      <c r="G15" s="63">
        <f t="array" ref="G15">INDEX('Owner Pay'!$E$21:$E$83,A15+1)</f>
        <v>0</v>
      </c>
      <c r="H15" s="63">
        <f t="shared" si="2"/>
        <v>80982</v>
      </c>
      <c r="I15" s="63">
        <f t="array" ref="I15">E15+F15-INDEX('Owner Pay'!$D$21:$D$83,A15+1)</f>
        <v>76953.20339</v>
      </c>
      <c r="J15" s="63">
        <f t="array" ref="J15">INDEX('Owner Pay'!$L$21:$L$83,A15+1)</f>
        <v>0</v>
      </c>
      <c r="K15" s="63">
        <f t="array" ref="K15">INDEX('Owner Pay'!$U$21:$U$83,A15+1)+INDEX('Owner Pay'!$V$21:$V$83,A15+1)</f>
        <v>0</v>
      </c>
      <c r="L15" s="63">
        <f t="array" ref="L15">INDEX('Owner Pay'!$R$21:$R$83,A15+1)</f>
        <v>0</v>
      </c>
      <c r="M15" s="63">
        <f t="array" ref="M15">INDEX('Owner Pay'!$P$21:$P$83,A15+1)</f>
        <v>0</v>
      </c>
      <c r="N15" s="63">
        <f t="shared" si="3"/>
        <v>76953.20339</v>
      </c>
      <c r="O15" s="63">
        <f t="shared" si="4"/>
        <v>4028.79661</v>
      </c>
      <c r="P15" s="63">
        <f t="array" ref="P15">INDEX('Owner Pay'!$F$21:$F$83,A15+1)</f>
        <v>127317.9588</v>
      </c>
      <c r="Q15" s="63">
        <f t="array" ref="Q15">INDEX('Owner Pay'!$Z$21:$Z$83,A15+1)</f>
        <v>131346.7554</v>
      </c>
      <c r="R15" s="63">
        <f t="array" ref="R15">INDEX('Owner Pay'!$Y$21:$Y$83,A15+1)</f>
        <v>1140000</v>
      </c>
      <c r="S15" s="62" t="str">
        <f t="array" ref="S15">INDEX('Monthly Base'!$AD$5:$AD$67,A15+1)</f>
        <v/>
      </c>
      <c r="T15" s="62" t="str">
        <f>IF(C15=0,"BUILD",IF(Q15&lt;Inputs!$B$80,"BELOW RESERVE","OK"))</f>
        <v>BELOW RESERVE</v>
      </c>
    </row>
    <row r="16">
      <c r="A16" s="64">
        <f t="shared" si="1"/>
        <v>9</v>
      </c>
      <c r="B16" s="64" t="str">
        <f t="array" ref="B16">INDEX('Owner Pay'!$B$21:$B$83,A16+1)</f>
        <v>OPEN</v>
      </c>
      <c r="C16" s="64">
        <f t="array" ref="C16">INDEX('Owner Pay'!$C$21:$C$83,A16+1)</f>
        <v>7</v>
      </c>
      <c r="D16" s="64">
        <f t="array" ref="D16">INDEX('Monthly Base'!$G$5:$G$67,A16+1)</f>
        <v>354</v>
      </c>
      <c r="E16" s="63">
        <f t="array" ref="E16">INDEX('Monthly Base'!$I$5:$I$67,A16+1)</f>
        <v>78942</v>
      </c>
      <c r="F16" s="63">
        <f t="array" ref="F16">INDEX('Monthly Base'!$J$5:$J$67,A16+1)</f>
        <v>6500</v>
      </c>
      <c r="G16" s="63">
        <f t="array" ref="G16">INDEX('Owner Pay'!$E$21:$E$83,A16+1)</f>
        <v>0</v>
      </c>
      <c r="H16" s="63">
        <f t="shared" si="2"/>
        <v>85442</v>
      </c>
      <c r="I16" s="63">
        <f t="array" ref="I16">E16+F16-INDEX('Owner Pay'!$D$21:$D$83,A16+1)</f>
        <v>77671.33898</v>
      </c>
      <c r="J16" s="63">
        <f t="array" ref="J16">INDEX('Owner Pay'!$L$21:$L$83,A16+1)</f>
        <v>0</v>
      </c>
      <c r="K16" s="63">
        <f t="array" ref="K16">INDEX('Owner Pay'!$U$21:$U$83,A16+1)+INDEX('Owner Pay'!$V$21:$V$83,A16+1)</f>
        <v>0</v>
      </c>
      <c r="L16" s="63">
        <f t="array" ref="L16">INDEX('Owner Pay'!$R$21:$R$83,A16+1)</f>
        <v>0</v>
      </c>
      <c r="M16" s="63">
        <f t="array" ref="M16">INDEX('Owner Pay'!$P$21:$P$83,A16+1)</f>
        <v>0</v>
      </c>
      <c r="N16" s="63">
        <f t="shared" si="3"/>
        <v>77671.33898</v>
      </c>
      <c r="O16" s="63">
        <f t="shared" si="4"/>
        <v>7770.661017</v>
      </c>
      <c r="P16" s="63">
        <f t="array" ref="P16">INDEX('Owner Pay'!$F$21:$F$83,A16+1)</f>
        <v>131346.7554</v>
      </c>
      <c r="Q16" s="63">
        <f t="array" ref="Q16">INDEX('Owner Pay'!$Z$21:$Z$83,A16+1)</f>
        <v>139117.4164</v>
      </c>
      <c r="R16" s="63">
        <f t="array" ref="R16">INDEX('Owner Pay'!$Y$21:$Y$83,A16+1)</f>
        <v>1140000</v>
      </c>
      <c r="S16" s="62" t="str">
        <f t="array" ref="S16">INDEX('Monthly Base'!$AD$5:$AD$67,A16+1)</f>
        <v/>
      </c>
      <c r="T16" s="62" t="str">
        <f>IF(C16=0,"BUILD",IF(Q16&lt;Inputs!$B$80,"BELOW RESERVE","OK"))</f>
        <v>BELOW RESERVE</v>
      </c>
    </row>
    <row r="17">
      <c r="A17" s="64">
        <f t="shared" si="1"/>
        <v>10</v>
      </c>
      <c r="B17" s="64" t="str">
        <f t="array" ref="B17">INDEX('Owner Pay'!$B$21:$B$83,A17+1)</f>
        <v>OPEN</v>
      </c>
      <c r="C17" s="64">
        <f t="array" ref="C17">INDEX('Owner Pay'!$C$21:$C$83,A17+1)</f>
        <v>8</v>
      </c>
      <c r="D17" s="64">
        <f t="array" ref="D17">INDEX('Monthly Base'!$G$5:$G$67,A17+1)</f>
        <v>373</v>
      </c>
      <c r="E17" s="63">
        <f t="array" ref="E17">INDEX('Monthly Base'!$I$5:$I$67,A17+1)</f>
        <v>83179</v>
      </c>
      <c r="F17" s="63">
        <f t="array" ref="F17">INDEX('Monthly Base'!$J$5:$J$67,A17+1)</f>
        <v>6500</v>
      </c>
      <c r="G17" s="63">
        <f t="array" ref="G17">INDEX('Owner Pay'!$E$21:$E$83,A17+1)</f>
        <v>0</v>
      </c>
      <c r="H17" s="63">
        <f t="shared" si="2"/>
        <v>89679</v>
      </c>
      <c r="I17" s="63">
        <f t="array" ref="I17">E17+F17-INDEX('Owner Pay'!$D$21:$D$83,A17+1)</f>
        <v>78353.5678</v>
      </c>
      <c r="J17" s="63">
        <f t="array" ref="J17">INDEX('Owner Pay'!$L$21:$L$83,A17+1)</f>
        <v>0</v>
      </c>
      <c r="K17" s="63">
        <f t="array" ref="K17">INDEX('Owner Pay'!$U$21:$U$83,A17+1)+INDEX('Owner Pay'!$V$21:$V$83,A17+1)</f>
        <v>0</v>
      </c>
      <c r="L17" s="63">
        <f t="array" ref="L17">INDEX('Owner Pay'!$R$21:$R$83,A17+1)</f>
        <v>0</v>
      </c>
      <c r="M17" s="63">
        <f t="array" ref="M17">INDEX('Owner Pay'!$P$21:$P$83,A17+1)</f>
        <v>0</v>
      </c>
      <c r="N17" s="63">
        <f t="shared" si="3"/>
        <v>78353.5678</v>
      </c>
      <c r="O17" s="63">
        <f t="shared" si="4"/>
        <v>11325.4322</v>
      </c>
      <c r="P17" s="63">
        <f t="array" ref="P17">INDEX('Owner Pay'!$F$21:$F$83,A17+1)</f>
        <v>139117.4164</v>
      </c>
      <c r="Q17" s="63">
        <f t="array" ref="Q17">INDEX('Owner Pay'!$Z$21:$Z$83,A17+1)</f>
        <v>150442.8486</v>
      </c>
      <c r="R17" s="63">
        <f t="array" ref="R17">INDEX('Owner Pay'!$Y$21:$Y$83,A17+1)</f>
        <v>1140000</v>
      </c>
      <c r="S17" s="62" t="str">
        <f t="array" ref="S17">INDEX('Monthly Base'!$AD$5:$AD$67,A17+1)</f>
        <v/>
      </c>
      <c r="T17" s="62" t="str">
        <f>IF(C17=0,"BUILD",IF(Q17&lt;Inputs!$B$80,"BELOW RESERVE","OK"))</f>
        <v>OK</v>
      </c>
    </row>
    <row r="18">
      <c r="A18" s="64">
        <f t="shared" si="1"/>
        <v>11</v>
      </c>
      <c r="B18" s="64" t="str">
        <f t="array" ref="B18">INDEX('Owner Pay'!$B$21:$B$83,A18+1)</f>
        <v>OPEN</v>
      </c>
      <c r="C18" s="64">
        <f t="array" ref="C18">INDEX('Owner Pay'!$C$21:$C$83,A18+1)</f>
        <v>9</v>
      </c>
      <c r="D18" s="64">
        <f t="array" ref="D18">INDEX('Monthly Base'!$G$5:$G$67,A18+1)</f>
        <v>392</v>
      </c>
      <c r="E18" s="63">
        <f t="array" ref="E18">INDEX('Monthly Base'!$I$5:$I$67,A18+1)</f>
        <v>87416</v>
      </c>
      <c r="F18" s="63">
        <f t="array" ref="F18">INDEX('Monthly Base'!$J$5:$J$67,A18+1)</f>
        <v>6500</v>
      </c>
      <c r="G18" s="63">
        <f t="array" ref="G18">INDEX('Owner Pay'!$E$21:$E$83,A18+1)</f>
        <v>0</v>
      </c>
      <c r="H18" s="63">
        <f t="shared" si="2"/>
        <v>93916</v>
      </c>
      <c r="I18" s="63">
        <f t="array" ref="I18">E18+F18-INDEX('Owner Pay'!$D$21:$D$83,A18+1)</f>
        <v>79035.79661</v>
      </c>
      <c r="J18" s="63">
        <f t="array" ref="J18">INDEX('Owner Pay'!$L$21:$L$83,A18+1)</f>
        <v>0</v>
      </c>
      <c r="K18" s="63">
        <f t="array" ref="K18">INDEX('Owner Pay'!$U$21:$U$83,A18+1)+INDEX('Owner Pay'!$V$21:$V$83,A18+1)</f>
        <v>0</v>
      </c>
      <c r="L18" s="63">
        <f t="array" ref="L18">INDEX('Owner Pay'!$R$21:$R$83,A18+1)</f>
        <v>0</v>
      </c>
      <c r="M18" s="63">
        <f t="array" ref="M18">INDEX('Owner Pay'!$P$21:$P$83,A18+1)</f>
        <v>0</v>
      </c>
      <c r="N18" s="63">
        <f t="shared" si="3"/>
        <v>79035.79661</v>
      </c>
      <c r="O18" s="63">
        <f t="shared" si="4"/>
        <v>14880.20339</v>
      </c>
      <c r="P18" s="63">
        <f t="array" ref="P18">INDEX('Owner Pay'!$F$21:$F$83,A18+1)</f>
        <v>150442.8486</v>
      </c>
      <c r="Q18" s="63">
        <f t="array" ref="Q18">INDEX('Owner Pay'!$Z$21:$Z$83,A18+1)</f>
        <v>165323.052</v>
      </c>
      <c r="R18" s="63">
        <f t="array" ref="R18">INDEX('Owner Pay'!$Y$21:$Y$83,A18+1)</f>
        <v>1140000</v>
      </c>
      <c r="S18" s="62" t="str">
        <f t="array" ref="S18">INDEX('Monthly Base'!$AD$5:$AD$67,A18+1)</f>
        <v/>
      </c>
      <c r="T18" s="62" t="str">
        <f>IF(C18=0,"BUILD",IF(Q18&lt;Inputs!$B$80,"BELOW RESERVE","OK"))</f>
        <v>OK</v>
      </c>
    </row>
    <row r="19">
      <c r="A19" s="64">
        <f t="shared" si="1"/>
        <v>12</v>
      </c>
      <c r="B19" s="64" t="str">
        <f t="array" ref="B19">INDEX('Owner Pay'!$B$21:$B$83,A19+1)</f>
        <v>OPEN</v>
      </c>
      <c r="C19" s="64">
        <f t="array" ref="C19">INDEX('Owner Pay'!$C$21:$C$83,A19+1)</f>
        <v>10</v>
      </c>
      <c r="D19" s="64">
        <f t="array" ref="D19">INDEX('Monthly Base'!$G$5:$G$67,A19+1)</f>
        <v>411</v>
      </c>
      <c r="E19" s="63">
        <f t="array" ref="E19">INDEX('Monthly Base'!$I$5:$I$67,A19+1)</f>
        <v>91653</v>
      </c>
      <c r="F19" s="63">
        <f t="array" ref="F19">INDEX('Monthly Base'!$J$5:$J$67,A19+1)</f>
        <v>6500</v>
      </c>
      <c r="G19" s="63">
        <f t="array" ref="G19">INDEX('Owner Pay'!$E$21:$E$83,A19+1)</f>
        <v>0</v>
      </c>
      <c r="H19" s="63">
        <f t="shared" si="2"/>
        <v>98153</v>
      </c>
      <c r="I19" s="63">
        <f t="array" ref="I19">E19+F19-INDEX('Owner Pay'!$D$21:$D$83,A19+1)</f>
        <v>79718.02542</v>
      </c>
      <c r="J19" s="63">
        <f t="array" ref="J19">INDEX('Owner Pay'!$L$21:$L$83,A19+1)</f>
        <v>20881.22078</v>
      </c>
      <c r="K19" s="63">
        <f t="array" ref="K19">INDEX('Owner Pay'!$U$21:$U$83,A19+1)+INDEX('Owner Pay'!$V$21:$V$83,A19+1)</f>
        <v>0</v>
      </c>
      <c r="L19" s="63">
        <f t="array" ref="L19">INDEX('Owner Pay'!$R$21:$R$83,A19+1)</f>
        <v>0</v>
      </c>
      <c r="M19" s="63">
        <f t="array" ref="M19">INDEX('Owner Pay'!$P$21:$P$83,A19+1)</f>
        <v>0</v>
      </c>
      <c r="N19" s="63">
        <f t="shared" si="3"/>
        <v>100599.2462</v>
      </c>
      <c r="O19" s="63">
        <f t="shared" si="4"/>
        <v>-2446.246205</v>
      </c>
      <c r="P19" s="63">
        <f t="array" ref="P19">INDEX('Owner Pay'!$F$21:$F$83,A19+1)</f>
        <v>165323.052</v>
      </c>
      <c r="Q19" s="63">
        <f t="array" ref="Q19">INDEX('Owner Pay'!$Z$21:$Z$83,A19+1)</f>
        <v>162876.8058</v>
      </c>
      <c r="R19" s="63">
        <f t="array" ref="R19">INDEX('Owner Pay'!$Y$21:$Y$83,A19+1)</f>
        <v>1122681.279</v>
      </c>
      <c r="S19" s="62" t="str">
        <f t="array" ref="S19">INDEX('Monthly Base'!$AD$5:$AD$67,A19+1)</f>
        <v>DEBT START</v>
      </c>
      <c r="T19" s="62" t="str">
        <f>IF(C19=0,"BUILD",IF(Q19&lt;Inputs!$B$80,"BELOW RESERVE","OK"))</f>
        <v>OK</v>
      </c>
    </row>
    <row r="20">
      <c r="A20" s="64">
        <f t="shared" si="1"/>
        <v>13</v>
      </c>
      <c r="B20" s="64" t="str">
        <f t="array" ref="B20">INDEX('Owner Pay'!$B$21:$B$83,A20+1)</f>
        <v>OPEN</v>
      </c>
      <c r="C20" s="64">
        <f t="array" ref="C20">INDEX('Owner Pay'!$C$21:$C$83,A20+1)</f>
        <v>11</v>
      </c>
      <c r="D20" s="64">
        <f t="array" ref="D20">INDEX('Monthly Base'!$G$5:$G$67,A20+1)</f>
        <v>431</v>
      </c>
      <c r="E20" s="63">
        <f t="array" ref="E20">INDEX('Monthly Base'!$I$5:$I$67,A20+1)</f>
        <v>96113</v>
      </c>
      <c r="F20" s="63">
        <f t="array" ref="F20">INDEX('Monthly Base'!$J$5:$J$67,A20+1)</f>
        <v>6500</v>
      </c>
      <c r="G20" s="63">
        <f t="array" ref="G20">INDEX('Owner Pay'!$E$21:$E$83,A20+1)</f>
        <v>0</v>
      </c>
      <c r="H20" s="63">
        <f t="shared" si="2"/>
        <v>102613</v>
      </c>
      <c r="I20" s="63">
        <f t="array" ref="I20">E20+F20-INDEX('Owner Pay'!$D$21:$D$83,A20+1)</f>
        <v>80436.16102</v>
      </c>
      <c r="J20" s="63">
        <f t="array" ref="J20">INDEX('Owner Pay'!$L$21:$L$83,A20+1)</f>
        <v>20881.22078</v>
      </c>
      <c r="K20" s="63">
        <f t="array" ref="K20">INDEX('Owner Pay'!$U$21:$U$83,A20+1)+INDEX('Owner Pay'!$V$21:$V$83,A20+1)</f>
        <v>0</v>
      </c>
      <c r="L20" s="63">
        <f t="array" ref="L20">INDEX('Owner Pay'!$R$21:$R$83,A20+1)</f>
        <v>0</v>
      </c>
      <c r="M20" s="63">
        <f t="array" ref="M20">INDEX('Owner Pay'!$P$21:$P$83,A20+1)</f>
        <v>0</v>
      </c>
      <c r="N20" s="63">
        <f t="shared" si="3"/>
        <v>101317.3818</v>
      </c>
      <c r="O20" s="63">
        <f t="shared" si="4"/>
        <v>1295.618202</v>
      </c>
      <c r="P20" s="63">
        <f t="array" ref="P20">INDEX('Owner Pay'!$F$21:$F$83,A20+1)</f>
        <v>162876.8058</v>
      </c>
      <c r="Q20" s="63">
        <f t="array" ref="Q20">INDEX('Owner Pay'!$Z$21:$Z$83,A20+1)</f>
        <v>164172.424</v>
      </c>
      <c r="R20" s="63">
        <f t="array" ref="R20">INDEX('Owner Pay'!$Y$21:$Y$83,A20+1)</f>
        <v>1105309.839</v>
      </c>
      <c r="S20" s="62" t="str">
        <f t="array" ref="S20">INDEX('Monthly Base'!$AD$5:$AD$67,A20+1)</f>
        <v/>
      </c>
      <c r="T20" s="62" t="str">
        <f>IF(C20=0,"BUILD",IF(Q20&lt;Inputs!$B$80,"BELOW RESERVE","OK"))</f>
        <v>OK</v>
      </c>
    </row>
    <row r="21">
      <c r="A21" s="64">
        <f t="shared" si="1"/>
        <v>14</v>
      </c>
      <c r="B21" s="64" t="str">
        <f t="array" ref="B21">INDEX('Owner Pay'!$B$21:$B$83,A21+1)</f>
        <v>OPEN</v>
      </c>
      <c r="C21" s="64">
        <f t="array" ref="C21">INDEX('Owner Pay'!$C$21:$C$83,A21+1)</f>
        <v>12</v>
      </c>
      <c r="D21" s="64">
        <f t="array" ref="D21">INDEX('Monthly Base'!$G$5:$G$67,A21+1)</f>
        <v>450</v>
      </c>
      <c r="E21" s="63">
        <f t="array" ref="E21">INDEX('Monthly Base'!$I$5:$I$67,A21+1)</f>
        <v>100350</v>
      </c>
      <c r="F21" s="63">
        <f t="array" ref="F21">INDEX('Monthly Base'!$J$5:$J$67,A21+1)</f>
        <v>6500</v>
      </c>
      <c r="G21" s="63">
        <f t="array" ref="G21">INDEX('Owner Pay'!$E$21:$E$83,A21+1)</f>
        <v>0</v>
      </c>
      <c r="H21" s="63">
        <f t="shared" si="2"/>
        <v>106850</v>
      </c>
      <c r="I21" s="63">
        <f t="array" ref="I21">E21+F21-INDEX('Owner Pay'!$D$21:$D$83,A21+1)</f>
        <v>81118.38983</v>
      </c>
      <c r="J21" s="63">
        <f t="array" ref="J21">INDEX('Owner Pay'!$L$21:$L$83,A21+1)</f>
        <v>20881.22078</v>
      </c>
      <c r="K21" s="63">
        <f t="array" ref="K21">INDEX('Owner Pay'!$U$21:$U$83,A21+1)+INDEX('Owner Pay'!$V$21:$V$83,A21+1)</f>
        <v>19022.81342</v>
      </c>
      <c r="L21" s="63">
        <f t="array" ref="L21">INDEX('Owner Pay'!$R$21:$R$83,A21+1)</f>
        <v>0</v>
      </c>
      <c r="M21" s="63">
        <f t="array" ref="M21">INDEX('Owner Pay'!$P$21:$P$83,A21+1)</f>
        <v>0</v>
      </c>
      <c r="N21" s="63">
        <f t="shared" si="3"/>
        <v>121022.424</v>
      </c>
      <c r="O21" s="63">
        <f t="shared" si="4"/>
        <v>-14172.42403</v>
      </c>
      <c r="P21" s="63">
        <f t="array" ref="P21">INDEX('Owner Pay'!$F$21:$F$83,A21+1)</f>
        <v>164172.424</v>
      </c>
      <c r="Q21" s="63">
        <f t="array" ref="Q21">INDEX('Owner Pay'!$Z$21:$Z$83,A21+1)</f>
        <v>150000</v>
      </c>
      <c r="R21" s="63">
        <f t="array" ref="R21">INDEX('Owner Pay'!$Y$21:$Y$83,A21+1)</f>
        <v>1068862.656</v>
      </c>
      <c r="S21" s="62" t="str">
        <f t="array" ref="S21">INDEX('Monthly Base'!$AD$5:$AD$67,A21+1)</f>
        <v>YEAR END</v>
      </c>
      <c r="T21" s="62" t="str">
        <f>IF(C21=0,"BUILD",IF(Q21&lt;Inputs!$B$80,"BELOW RESERVE","OK"))</f>
        <v>OK</v>
      </c>
    </row>
    <row r="22">
      <c r="A22" s="64">
        <f t="shared" si="1"/>
        <v>15</v>
      </c>
      <c r="B22" s="64" t="str">
        <f t="array" ref="B22">INDEX('Owner Pay'!$B$21:$B$83,A22+1)</f>
        <v>OPEN</v>
      </c>
      <c r="C22" s="64">
        <f t="array" ref="C22">INDEX('Owner Pay'!$C$21:$C$83,A22+1)</f>
        <v>13</v>
      </c>
      <c r="D22" s="64">
        <f t="array" ref="D22">INDEX('Monthly Base'!$G$5:$G$67,A22+1)</f>
        <v>463</v>
      </c>
      <c r="E22" s="63">
        <f t="array" ref="E22">INDEX('Monthly Base'!$I$5:$I$67,A22+1)</f>
        <v>103249</v>
      </c>
      <c r="F22" s="63">
        <f t="array" ref="F22">INDEX('Monthly Base'!$J$5:$J$67,A22+1)</f>
        <v>6500</v>
      </c>
      <c r="G22" s="63">
        <f t="array" ref="G22">INDEX('Owner Pay'!$E$21:$E$83,A22+1)</f>
        <v>0</v>
      </c>
      <c r="H22" s="63">
        <f t="shared" si="2"/>
        <v>109749</v>
      </c>
      <c r="I22" s="63">
        <f t="array" ref="I22">E22+F22-INDEX('Owner Pay'!$D$21:$D$83,A22+1)</f>
        <v>81585.17797</v>
      </c>
      <c r="J22" s="63">
        <f t="array" ref="J22">INDEX('Owner Pay'!$L$21:$L$83,A22+1)</f>
        <v>20881.22078</v>
      </c>
      <c r="K22" s="63">
        <f t="array" ref="K22">INDEX('Owner Pay'!$U$21:$U$83,A22+1)+INDEX('Owner Pay'!$V$21:$V$83,A22+1)</f>
        <v>0</v>
      </c>
      <c r="L22" s="63">
        <f t="array" ref="L22">INDEX('Owner Pay'!$R$21:$R$83,A22+1)</f>
        <v>0</v>
      </c>
      <c r="M22" s="63">
        <f t="array" ref="M22">INDEX('Owner Pay'!$P$21:$P$83,A22+1)</f>
        <v>0</v>
      </c>
      <c r="N22" s="63">
        <f t="shared" si="3"/>
        <v>102466.3987</v>
      </c>
      <c r="O22" s="63">
        <f t="shared" si="4"/>
        <v>7282.601253</v>
      </c>
      <c r="P22" s="63">
        <f t="array" ref="P22">INDEX('Owner Pay'!$F$21:$F$83,A22+1)</f>
        <v>150000</v>
      </c>
      <c r="Q22" s="63">
        <f t="array" ref="Q22">INDEX('Owner Pay'!$Z$21:$Z$83,A22+1)</f>
        <v>157282.6013</v>
      </c>
      <c r="R22" s="63">
        <f t="array" ref="R22">INDEX('Owner Pay'!$Y$21:$Y$83,A22+1)</f>
        <v>1051309.85</v>
      </c>
      <c r="S22" s="62" t="str">
        <f t="array" ref="S22">INDEX('Monthly Base'!$AD$5:$AD$67,A22+1)</f>
        <v/>
      </c>
      <c r="T22" s="62" t="str">
        <f>IF(C22=0,"BUILD",IF(Q22&lt;Inputs!$B$80,"BELOW RESERVE","OK"))</f>
        <v>OK</v>
      </c>
    </row>
    <row r="23">
      <c r="A23" s="64">
        <f t="shared" si="1"/>
        <v>16</v>
      </c>
      <c r="B23" s="64" t="str">
        <f t="array" ref="B23">INDEX('Owner Pay'!$B$21:$B$83,A23+1)</f>
        <v>OPEN</v>
      </c>
      <c r="C23" s="64">
        <f t="array" ref="C23">INDEX('Owner Pay'!$C$21:$C$83,A23+1)</f>
        <v>14</v>
      </c>
      <c r="D23" s="64">
        <f t="array" ref="D23">INDEX('Monthly Base'!$G$5:$G$67,A23+1)</f>
        <v>475</v>
      </c>
      <c r="E23" s="63">
        <f t="array" ref="E23">INDEX('Monthly Base'!$I$5:$I$67,A23+1)</f>
        <v>105925</v>
      </c>
      <c r="F23" s="63">
        <f t="array" ref="F23">INDEX('Monthly Base'!$J$5:$J$67,A23+1)</f>
        <v>6500</v>
      </c>
      <c r="G23" s="63">
        <f t="array" ref="G23">INDEX('Owner Pay'!$E$21:$E$83,A23+1)</f>
        <v>0</v>
      </c>
      <c r="H23" s="63">
        <f t="shared" si="2"/>
        <v>112425</v>
      </c>
      <c r="I23" s="63">
        <f t="array" ref="I23">E23+F23-INDEX('Owner Pay'!$D$21:$D$83,A23+1)</f>
        <v>82016.05932</v>
      </c>
      <c r="J23" s="63">
        <f t="array" ref="J23">INDEX('Owner Pay'!$L$21:$L$83,A23+1)</f>
        <v>20881.22078</v>
      </c>
      <c r="K23" s="63">
        <f t="array" ref="K23">INDEX('Owner Pay'!$U$21:$U$83,A23+1)+INDEX('Owner Pay'!$V$21:$V$83,A23+1)</f>
        <v>0</v>
      </c>
      <c r="L23" s="63">
        <f t="array" ref="L23">INDEX('Owner Pay'!$R$21:$R$83,A23+1)</f>
        <v>0</v>
      </c>
      <c r="M23" s="63">
        <f t="array" ref="M23">INDEX('Owner Pay'!$P$21:$P$83,A23+1)</f>
        <v>0</v>
      </c>
      <c r="N23" s="63">
        <f t="shared" si="3"/>
        <v>102897.2801</v>
      </c>
      <c r="O23" s="63">
        <f t="shared" si="4"/>
        <v>9527.719897</v>
      </c>
      <c r="P23" s="63">
        <f t="array" ref="P23">INDEX('Owner Pay'!$F$21:$F$83,A23+1)</f>
        <v>157282.6013</v>
      </c>
      <c r="Q23" s="63">
        <f t="array" ref="Q23">INDEX('Owner Pay'!$Z$21:$Z$83,A23+1)</f>
        <v>166810.3211</v>
      </c>
      <c r="R23" s="63">
        <f t="array" ref="R23">INDEX('Owner Pay'!$Y$21:$Y$83,A23+1)</f>
        <v>1033703.397</v>
      </c>
      <c r="S23" s="62" t="str">
        <f t="array" ref="S23">INDEX('Monthly Base'!$AD$5:$AD$67,A23+1)</f>
        <v/>
      </c>
      <c r="T23" s="62" t="str">
        <f>IF(C23=0,"BUILD",IF(Q23&lt;Inputs!$B$80,"BELOW RESERVE","OK"))</f>
        <v>OK</v>
      </c>
    </row>
    <row r="24">
      <c r="A24" s="64">
        <f t="shared" si="1"/>
        <v>17</v>
      </c>
      <c r="B24" s="64" t="str">
        <f t="array" ref="B24">INDEX('Owner Pay'!$B$21:$B$83,A24+1)</f>
        <v>OPEN</v>
      </c>
      <c r="C24" s="64">
        <f t="array" ref="C24">INDEX('Owner Pay'!$C$21:$C$83,A24+1)</f>
        <v>15</v>
      </c>
      <c r="D24" s="64">
        <f t="array" ref="D24">INDEX('Monthly Base'!$G$5:$G$67,A24+1)</f>
        <v>488</v>
      </c>
      <c r="E24" s="63">
        <f t="array" ref="E24">INDEX('Monthly Base'!$I$5:$I$67,A24+1)</f>
        <v>108824</v>
      </c>
      <c r="F24" s="63">
        <f t="array" ref="F24">INDEX('Monthly Base'!$J$5:$J$67,A24+1)</f>
        <v>6500</v>
      </c>
      <c r="G24" s="63">
        <f t="array" ref="G24">INDEX('Owner Pay'!$E$21:$E$83,A24+1)</f>
        <v>0</v>
      </c>
      <c r="H24" s="63">
        <f t="shared" si="2"/>
        <v>115324</v>
      </c>
      <c r="I24" s="63">
        <f t="array" ref="I24">E24+F24-INDEX('Owner Pay'!$D$21:$D$83,A24+1)</f>
        <v>82482.84746</v>
      </c>
      <c r="J24" s="63">
        <f t="array" ref="J24">INDEX('Owner Pay'!$L$21:$L$83,A24+1)</f>
        <v>20881.22078</v>
      </c>
      <c r="K24" s="63">
        <f t="array" ref="K24">INDEX('Owner Pay'!$U$21:$U$83,A24+1)+INDEX('Owner Pay'!$V$21:$V$83,A24+1)</f>
        <v>0</v>
      </c>
      <c r="L24" s="63">
        <f t="array" ref="L24">INDEX('Owner Pay'!$R$21:$R$83,A24+1)</f>
        <v>0</v>
      </c>
      <c r="M24" s="63">
        <f t="array" ref="M24">INDEX('Owner Pay'!$P$21:$P$83,A24+1)</f>
        <v>0</v>
      </c>
      <c r="N24" s="63">
        <f t="shared" si="3"/>
        <v>103364.0682</v>
      </c>
      <c r="O24" s="63">
        <f t="shared" si="4"/>
        <v>11959.93176</v>
      </c>
      <c r="P24" s="63">
        <f t="array" ref="P24">INDEX('Owner Pay'!$F$21:$F$83,A24+1)</f>
        <v>166810.3211</v>
      </c>
      <c r="Q24" s="63">
        <f t="array" ref="Q24">INDEX('Owner Pay'!$Z$21:$Z$83,A24+1)</f>
        <v>178770.2529</v>
      </c>
      <c r="R24" s="63">
        <f t="array" ref="R24">INDEX('Owner Pay'!$Y$21:$Y$83,A24+1)</f>
        <v>1016043.086</v>
      </c>
      <c r="S24" s="62" t="str">
        <f t="array" ref="S24">INDEX('Monthly Base'!$AD$5:$AD$67,A24+1)</f>
        <v/>
      </c>
      <c r="T24" s="62" t="str">
        <f>IF(C24=0,"BUILD",IF(Q24&lt;Inputs!$B$80,"BELOW RESERVE","OK"))</f>
        <v>OK</v>
      </c>
    </row>
    <row r="25">
      <c r="A25" s="64">
        <f t="shared" si="1"/>
        <v>18</v>
      </c>
      <c r="B25" s="64" t="str">
        <f t="array" ref="B25">INDEX('Owner Pay'!$B$21:$B$83,A25+1)</f>
        <v>OPEN</v>
      </c>
      <c r="C25" s="64">
        <f t="array" ref="C25">INDEX('Owner Pay'!$C$21:$C$83,A25+1)</f>
        <v>16</v>
      </c>
      <c r="D25" s="64">
        <f t="array" ref="D25">INDEX('Monthly Base'!$G$5:$G$67,A25+1)</f>
        <v>500</v>
      </c>
      <c r="E25" s="63">
        <f t="array" ref="E25">INDEX('Monthly Base'!$I$5:$I$67,A25+1)</f>
        <v>111500</v>
      </c>
      <c r="F25" s="63">
        <f t="array" ref="F25">INDEX('Monthly Base'!$J$5:$J$67,A25+1)</f>
        <v>6500</v>
      </c>
      <c r="G25" s="63">
        <f t="array" ref="G25">INDEX('Owner Pay'!$E$21:$E$83,A25+1)</f>
        <v>0</v>
      </c>
      <c r="H25" s="63">
        <f t="shared" si="2"/>
        <v>118000</v>
      </c>
      <c r="I25" s="63">
        <f t="array" ref="I25">E25+F25-INDEX('Owner Pay'!$D$21:$D$83,A25+1)</f>
        <v>82913.72881</v>
      </c>
      <c r="J25" s="63">
        <f t="array" ref="J25">INDEX('Owner Pay'!$L$21:$L$83,A25+1)</f>
        <v>20881.22078</v>
      </c>
      <c r="K25" s="63">
        <f t="array" ref="K25">INDEX('Owner Pay'!$U$21:$U$83,A25+1)+INDEX('Owner Pay'!$V$21:$V$83,A25+1)</f>
        <v>0</v>
      </c>
      <c r="L25" s="63">
        <f t="array" ref="L25">INDEX('Owner Pay'!$R$21:$R$83,A25+1)</f>
        <v>1084.420415</v>
      </c>
      <c r="M25" s="63">
        <f t="array" ref="M25">INDEX('Owner Pay'!$P$21:$P$83,A25+1)</f>
        <v>0</v>
      </c>
      <c r="N25" s="63">
        <f t="shared" si="3"/>
        <v>104879.37</v>
      </c>
      <c r="O25" s="63">
        <f t="shared" si="4"/>
        <v>13120.62999</v>
      </c>
      <c r="P25" s="63">
        <f t="array" ref="P25">INDEX('Owner Pay'!$F$21:$F$83,A25+1)</f>
        <v>178770.2529</v>
      </c>
      <c r="Q25" s="63">
        <f t="array" ref="Q25">INDEX('Owner Pay'!$Z$21:$Z$83,A25+1)</f>
        <v>191890.8829</v>
      </c>
      <c r="R25" s="63">
        <f t="array" ref="R25">INDEX('Owner Pay'!$Y$21:$Y$83,A25+1)</f>
        <v>998328.7019</v>
      </c>
      <c r="S25" s="62" t="str">
        <f t="array" ref="S25">INDEX('Monthly Base'!$AD$5:$AD$67,A25+1)</f>
        <v/>
      </c>
      <c r="T25" s="62" t="str">
        <f>IF(C25=0,"BUILD",IF(Q25&lt;Inputs!$B$80,"BELOW RESERVE","OK"))</f>
        <v>OK</v>
      </c>
    </row>
    <row r="26">
      <c r="A26" s="64">
        <f t="shared" si="1"/>
        <v>19</v>
      </c>
      <c r="B26" s="64" t="str">
        <f t="array" ref="B26">INDEX('Owner Pay'!$B$21:$B$83,A26+1)</f>
        <v>OPEN</v>
      </c>
      <c r="C26" s="64">
        <f t="array" ref="C26">INDEX('Owner Pay'!$C$21:$C$83,A26+1)</f>
        <v>17</v>
      </c>
      <c r="D26" s="64">
        <f t="array" ref="D26">INDEX('Monthly Base'!$G$5:$G$67,A26+1)</f>
        <v>513</v>
      </c>
      <c r="E26" s="63">
        <f t="array" ref="E26">INDEX('Monthly Base'!$I$5:$I$67,A26+1)</f>
        <v>114399</v>
      </c>
      <c r="F26" s="63">
        <f t="array" ref="F26">INDEX('Monthly Base'!$J$5:$J$67,A26+1)</f>
        <v>6500</v>
      </c>
      <c r="G26" s="63">
        <f t="array" ref="G26">INDEX('Owner Pay'!$E$21:$E$83,A26+1)</f>
        <v>0</v>
      </c>
      <c r="H26" s="63">
        <f t="shared" si="2"/>
        <v>120899</v>
      </c>
      <c r="I26" s="63">
        <f t="array" ref="I26">E26+F26-INDEX('Owner Pay'!$D$21:$D$83,A26+1)</f>
        <v>83380.51695</v>
      </c>
      <c r="J26" s="63">
        <f t="array" ref="J26">INDEX('Owner Pay'!$L$21:$L$83,A26+1)</f>
        <v>20881.22078</v>
      </c>
      <c r="K26" s="63">
        <f t="array" ref="K26">INDEX('Owner Pay'!$U$21:$U$83,A26+1)+INDEX('Owner Pay'!$V$21:$V$83,A26+1)</f>
        <v>0</v>
      </c>
      <c r="L26" s="63">
        <f t="array" ref="L26">INDEX('Owner Pay'!$R$21:$R$83,A26+1)</f>
        <v>6346.374346</v>
      </c>
      <c r="M26" s="63">
        <f t="array" ref="M26">INDEX('Owner Pay'!$P$21:$P$83,A26+1)</f>
        <v>0</v>
      </c>
      <c r="N26" s="63">
        <f t="shared" si="3"/>
        <v>110608.1121</v>
      </c>
      <c r="O26" s="63">
        <f t="shared" si="4"/>
        <v>10290.88792</v>
      </c>
      <c r="P26" s="63">
        <f t="array" ref="P26">INDEX('Owner Pay'!$F$21:$F$83,A26+1)</f>
        <v>191890.8829</v>
      </c>
      <c r="Q26" s="63">
        <f t="array" ref="Q26">INDEX('Owner Pay'!$Z$21:$Z$83,A26+1)</f>
        <v>202181.7708</v>
      </c>
      <c r="R26" s="63">
        <f t="array" ref="R26">INDEX('Owner Pay'!$Y$21:$Y$83,A26+1)</f>
        <v>980560.0323</v>
      </c>
      <c r="S26" s="62" t="str">
        <f t="array" ref="S26">INDEX('Monthly Base'!$AD$5:$AD$67,A26+1)</f>
        <v/>
      </c>
      <c r="T26" s="62" t="str">
        <f>IF(C26=0,"BUILD",IF(Q26&lt;Inputs!$B$80,"BELOW RESERVE","OK"))</f>
        <v>OK</v>
      </c>
    </row>
    <row r="27">
      <c r="A27" s="64">
        <f t="shared" si="1"/>
        <v>20</v>
      </c>
      <c r="B27" s="64" t="str">
        <f t="array" ref="B27">INDEX('Owner Pay'!$B$21:$B$83,A27+1)</f>
        <v>OPEN</v>
      </c>
      <c r="C27" s="64">
        <f t="array" ref="C27">INDEX('Owner Pay'!$C$21:$C$83,A27+1)</f>
        <v>18</v>
      </c>
      <c r="D27" s="64">
        <f t="array" ref="D27">INDEX('Monthly Base'!$G$5:$G$67,A27+1)</f>
        <v>525</v>
      </c>
      <c r="E27" s="63">
        <f t="array" ref="E27">INDEX('Monthly Base'!$I$5:$I$67,A27+1)</f>
        <v>117075</v>
      </c>
      <c r="F27" s="63">
        <f t="array" ref="F27">INDEX('Monthly Base'!$J$5:$J$67,A27+1)</f>
        <v>6500</v>
      </c>
      <c r="G27" s="63">
        <f t="array" ref="G27">INDEX('Owner Pay'!$E$21:$E$83,A27+1)</f>
        <v>0</v>
      </c>
      <c r="H27" s="63">
        <f t="shared" si="2"/>
        <v>123575</v>
      </c>
      <c r="I27" s="63">
        <f t="array" ref="I27">E27+F27-INDEX('Owner Pay'!$D$21:$D$83,A27+1)</f>
        <v>83811.39831</v>
      </c>
      <c r="J27" s="63">
        <f t="array" ref="J27">INDEX('Owner Pay'!$L$21:$L$83,A27+1)</f>
        <v>20881.22078</v>
      </c>
      <c r="K27" s="63">
        <f t="array" ref="K27">INDEX('Owner Pay'!$U$21:$U$83,A27+1)+INDEX('Owner Pay'!$V$21:$V$83,A27+1)</f>
        <v>64188.86488</v>
      </c>
      <c r="L27" s="63">
        <f t="array" ref="L27">INDEX('Owner Pay'!$R$21:$R$83,A27+1)</f>
        <v>6875.28686</v>
      </c>
      <c r="M27" s="63">
        <f t="array" ref="M27">INDEX('Owner Pay'!$P$21:$P$83,A27+1)</f>
        <v>0</v>
      </c>
      <c r="N27" s="63">
        <f t="shared" si="3"/>
        <v>175756.7708</v>
      </c>
      <c r="O27" s="63">
        <f t="shared" si="4"/>
        <v>-52181.77082</v>
      </c>
      <c r="P27" s="63">
        <f t="array" ref="P27">INDEX('Owner Pay'!$F$21:$F$83,A27+1)</f>
        <v>202181.7708</v>
      </c>
      <c r="Q27" s="63">
        <f t="array" ref="Q27">INDEX('Owner Pay'!$Z$21:$Z$83,A27+1)</f>
        <v>150000</v>
      </c>
      <c r="R27" s="63">
        <f t="array" ref="R27">INDEX('Owner Pay'!$Y$21:$Y$83,A27+1)</f>
        <v>898547.9967</v>
      </c>
      <c r="S27" s="62" t="str">
        <f t="array" ref="S27">INDEX('Monthly Base'!$AD$5:$AD$67,A27+1)</f>
        <v/>
      </c>
      <c r="T27" s="62" t="str">
        <f>IF(C27=0,"BUILD",IF(Q27&lt;Inputs!$B$80,"BELOW RESERVE","OK"))</f>
        <v>OK</v>
      </c>
    </row>
    <row r="28">
      <c r="A28" s="64">
        <f t="shared" si="1"/>
        <v>21</v>
      </c>
      <c r="B28" s="64" t="str">
        <f t="array" ref="B28">INDEX('Owner Pay'!$B$21:$B$83,A28+1)</f>
        <v>OPEN</v>
      </c>
      <c r="C28" s="64">
        <f t="array" ref="C28">INDEX('Owner Pay'!$C$21:$C$83,A28+1)</f>
        <v>19</v>
      </c>
      <c r="D28" s="64">
        <f t="array" ref="D28">INDEX('Monthly Base'!$G$5:$G$67,A28+1)</f>
        <v>538</v>
      </c>
      <c r="E28" s="63">
        <f t="array" ref="E28">INDEX('Monthly Base'!$I$5:$I$67,A28+1)</f>
        <v>119974</v>
      </c>
      <c r="F28" s="63">
        <f t="array" ref="F28">INDEX('Monthly Base'!$J$5:$J$67,A28+1)</f>
        <v>6500</v>
      </c>
      <c r="G28" s="63">
        <f t="array" ref="G28">INDEX('Owner Pay'!$E$21:$E$83,A28+1)</f>
        <v>0</v>
      </c>
      <c r="H28" s="63">
        <f t="shared" si="2"/>
        <v>126474</v>
      </c>
      <c r="I28" s="63">
        <f t="array" ref="I28">E28+F28-INDEX('Owner Pay'!$D$21:$D$83,A28+1)</f>
        <v>84278.18644</v>
      </c>
      <c r="J28" s="63">
        <f t="array" ref="J28">INDEX('Owner Pay'!$L$21:$L$83,A28+1)</f>
        <v>20881.22078</v>
      </c>
      <c r="K28" s="63">
        <f t="array" ref="K28">INDEX('Owner Pay'!$U$21:$U$83,A28+1)+INDEX('Owner Pay'!$V$21:$V$83,A28+1)</f>
        <v>0</v>
      </c>
      <c r="L28" s="63">
        <f t="array" ref="L28">INDEX('Owner Pay'!$R$21:$R$83,A28+1)</f>
        <v>7505.719047</v>
      </c>
      <c r="M28" s="63">
        <f t="array" ref="M28">INDEX('Owner Pay'!$P$21:$P$83,A28+1)</f>
        <v>0</v>
      </c>
      <c r="N28" s="63">
        <f t="shared" si="3"/>
        <v>112665.1263</v>
      </c>
      <c r="O28" s="63">
        <f t="shared" si="4"/>
        <v>13808.87373</v>
      </c>
      <c r="P28" s="63">
        <f t="array" ref="P28">INDEX('Owner Pay'!$F$21:$F$83,A28+1)</f>
        <v>150000</v>
      </c>
      <c r="Q28" s="63">
        <f t="array" ref="Q28">INDEX('Owner Pay'!$Z$21:$Z$83,A28+1)</f>
        <v>163808.8737</v>
      </c>
      <c r="R28" s="63">
        <f t="array" ref="R28">INDEX('Owner Pay'!$Y$21:$Y$83,A28+1)</f>
        <v>880416.0285</v>
      </c>
      <c r="S28" s="62" t="str">
        <f t="array" ref="S28">INDEX('Monthly Base'!$AD$5:$AD$67,A28+1)</f>
        <v/>
      </c>
      <c r="T28" s="62" t="str">
        <f>IF(C28=0,"BUILD",IF(Q28&lt;Inputs!$B$80,"BELOW RESERVE","OK"))</f>
        <v>OK</v>
      </c>
    </row>
    <row r="29">
      <c r="A29" s="64">
        <f t="shared" si="1"/>
        <v>22</v>
      </c>
      <c r="B29" s="64" t="str">
        <f t="array" ref="B29">INDEX('Owner Pay'!$B$21:$B$83,A29+1)</f>
        <v>OPEN</v>
      </c>
      <c r="C29" s="64">
        <f t="array" ref="C29">INDEX('Owner Pay'!$C$21:$C$83,A29+1)</f>
        <v>20</v>
      </c>
      <c r="D29" s="64">
        <f t="array" ref="D29">INDEX('Monthly Base'!$G$5:$G$67,A29+1)</f>
        <v>550</v>
      </c>
      <c r="E29" s="63">
        <f t="array" ref="E29">INDEX('Monthly Base'!$I$5:$I$67,A29+1)</f>
        <v>122650</v>
      </c>
      <c r="F29" s="63">
        <f t="array" ref="F29">INDEX('Monthly Base'!$J$5:$J$67,A29+1)</f>
        <v>6500</v>
      </c>
      <c r="G29" s="63">
        <f t="array" ref="G29">INDEX('Owner Pay'!$E$21:$E$83,A29+1)</f>
        <v>0</v>
      </c>
      <c r="H29" s="63">
        <f t="shared" si="2"/>
        <v>129150</v>
      </c>
      <c r="I29" s="63">
        <f t="array" ref="I29">E29+F29-INDEX('Owner Pay'!$D$21:$D$83,A29+1)</f>
        <v>84709.0678</v>
      </c>
      <c r="J29" s="63">
        <f t="array" ref="J29">INDEX('Owner Pay'!$L$21:$L$83,A29+1)</f>
        <v>20881.22078</v>
      </c>
      <c r="K29" s="63">
        <f t="array" ref="K29">INDEX('Owner Pay'!$U$21:$U$83,A29+1)+INDEX('Owner Pay'!$V$21:$V$83,A29+1)</f>
        <v>0</v>
      </c>
      <c r="L29" s="63">
        <f t="array" ref="L29">INDEX('Owner Pay'!$R$21:$R$83,A29+1)</f>
        <v>8034.962314</v>
      </c>
      <c r="M29" s="63">
        <f t="array" ref="M29">INDEX('Owner Pay'!$P$21:$P$83,A29+1)</f>
        <v>0</v>
      </c>
      <c r="N29" s="63">
        <f t="shared" si="3"/>
        <v>113625.2509</v>
      </c>
      <c r="O29" s="63">
        <f t="shared" si="4"/>
        <v>15524.74911</v>
      </c>
      <c r="P29" s="63">
        <f t="array" ref="P29">INDEX('Owner Pay'!$F$21:$F$83,A29+1)</f>
        <v>163808.8737</v>
      </c>
      <c r="Q29" s="63">
        <f t="array" ref="Q29">INDEX('Owner Pay'!$Z$21:$Z$83,A29+1)</f>
        <v>179333.6228</v>
      </c>
      <c r="R29" s="63">
        <f t="array" ref="R29">INDEX('Owner Pay'!$Y$21:$Y$83,A29+1)</f>
        <v>862228.1211</v>
      </c>
      <c r="S29" s="62" t="str">
        <f t="array" ref="S29">INDEX('Monthly Base'!$AD$5:$AD$67,A29+1)</f>
        <v/>
      </c>
      <c r="T29" s="62" t="str">
        <f>IF(C29=0,"BUILD",IF(Q29&lt;Inputs!$B$80,"BELOW RESERVE","OK"))</f>
        <v>OK</v>
      </c>
    </row>
    <row r="30">
      <c r="A30" s="64">
        <f t="shared" si="1"/>
        <v>23</v>
      </c>
      <c r="B30" s="64" t="str">
        <f t="array" ref="B30">INDEX('Owner Pay'!$B$21:$B$83,A30+1)</f>
        <v>OPEN</v>
      </c>
      <c r="C30" s="64">
        <f t="array" ref="C30">INDEX('Owner Pay'!$C$21:$C$83,A30+1)</f>
        <v>21</v>
      </c>
      <c r="D30" s="64">
        <f t="array" ref="D30">INDEX('Monthly Base'!$G$5:$G$67,A30+1)</f>
        <v>563</v>
      </c>
      <c r="E30" s="63">
        <f t="array" ref="E30">INDEX('Monthly Base'!$I$5:$I$67,A30+1)</f>
        <v>125549</v>
      </c>
      <c r="F30" s="63">
        <f t="array" ref="F30">INDEX('Monthly Base'!$J$5:$J$67,A30+1)</f>
        <v>6500</v>
      </c>
      <c r="G30" s="63">
        <f t="array" ref="G30">INDEX('Owner Pay'!$E$21:$E$83,A30+1)</f>
        <v>0</v>
      </c>
      <c r="H30" s="63">
        <f t="shared" si="2"/>
        <v>132049</v>
      </c>
      <c r="I30" s="63">
        <f t="array" ref="I30">E30+F30-INDEX('Owner Pay'!$D$21:$D$83,A30+1)</f>
        <v>85175.85593</v>
      </c>
      <c r="J30" s="63">
        <f t="array" ref="J30">INDEX('Owner Pay'!$L$21:$L$83,A30+1)</f>
        <v>20881.22078</v>
      </c>
      <c r="K30" s="63">
        <f t="array" ref="K30">INDEX('Owner Pay'!$U$21:$U$83,A30+1)+INDEX('Owner Pay'!$V$21:$V$83,A30+1)</f>
        <v>0</v>
      </c>
      <c r="L30" s="63">
        <f t="array" ref="L30">INDEX('Owner Pay'!$R$21:$R$83,A30+1)</f>
        <v>8607.28795</v>
      </c>
      <c r="M30" s="63">
        <f t="array" ref="M30">INDEX('Owner Pay'!$P$21:$P$83,A30+1)</f>
        <v>0</v>
      </c>
      <c r="N30" s="63">
        <f t="shared" si="3"/>
        <v>114664.3647</v>
      </c>
      <c r="O30" s="63">
        <f t="shared" si="4"/>
        <v>17384.63534</v>
      </c>
      <c r="P30" s="63">
        <f t="array" ref="P30">INDEX('Owner Pay'!$F$21:$F$83,A30+1)</f>
        <v>179333.6228</v>
      </c>
      <c r="Q30" s="63">
        <f t="array" ref="Q30">INDEX('Owner Pay'!$Z$21:$Z$83,A30+1)</f>
        <v>196718.2582</v>
      </c>
      <c r="R30" s="63">
        <f t="array" ref="R30">INDEX('Owner Pay'!$Y$21:$Y$83,A30+1)</f>
        <v>843984.0533</v>
      </c>
      <c r="S30" s="62" t="str">
        <f t="array" ref="S30">INDEX('Monthly Base'!$AD$5:$AD$67,A30+1)</f>
        <v/>
      </c>
      <c r="T30" s="62" t="str">
        <f>IF(C30=0,"BUILD",IF(Q30&lt;Inputs!$B$80,"BELOW RESERVE","OK"))</f>
        <v>OK</v>
      </c>
    </row>
    <row r="31">
      <c r="A31" s="64">
        <f t="shared" si="1"/>
        <v>24</v>
      </c>
      <c r="B31" s="64" t="str">
        <f t="array" ref="B31">INDEX('Owner Pay'!$B$21:$B$83,A31+1)</f>
        <v>OPEN</v>
      </c>
      <c r="C31" s="64">
        <f t="array" ref="C31">INDEX('Owner Pay'!$C$21:$C$83,A31+1)</f>
        <v>22</v>
      </c>
      <c r="D31" s="64">
        <f t="array" ref="D31">INDEX('Monthly Base'!$G$5:$G$67,A31+1)</f>
        <v>575</v>
      </c>
      <c r="E31" s="63">
        <f t="array" ref="E31">INDEX('Monthly Base'!$I$5:$I$67,A31+1)</f>
        <v>128225</v>
      </c>
      <c r="F31" s="63">
        <f t="array" ref="F31">INDEX('Monthly Base'!$J$5:$J$67,A31+1)</f>
        <v>6500</v>
      </c>
      <c r="G31" s="63">
        <f t="array" ref="G31">INDEX('Owner Pay'!$E$21:$E$83,A31+1)</f>
        <v>0</v>
      </c>
      <c r="H31" s="63">
        <f t="shared" si="2"/>
        <v>134725</v>
      </c>
      <c r="I31" s="63">
        <f t="array" ref="I31">E31+F31-INDEX('Owner Pay'!$D$21:$D$83,A31+1)</f>
        <v>85606.73729</v>
      </c>
      <c r="J31" s="63">
        <f t="array" ref="J31">INDEX('Owner Pay'!$L$21:$L$83,A31+1)</f>
        <v>20881.22078</v>
      </c>
      <c r="K31" s="63">
        <f t="array" ref="K31">INDEX('Owner Pay'!$U$21:$U$83,A31+1)+INDEX('Owner Pay'!$V$21:$V$83,A31+1)</f>
        <v>0</v>
      </c>
      <c r="L31" s="63">
        <f t="array" ref="L31">INDEX('Owner Pay'!$R$21:$R$83,A31+1)</f>
        <v>9136.633275</v>
      </c>
      <c r="M31" s="63">
        <f t="array" ref="M31">INDEX('Owner Pay'!$P$21:$P$83,A31+1)</f>
        <v>0</v>
      </c>
      <c r="N31" s="63">
        <f t="shared" si="3"/>
        <v>115624.5913</v>
      </c>
      <c r="O31" s="63">
        <f t="shared" si="4"/>
        <v>19100.40866</v>
      </c>
      <c r="P31" s="63">
        <f t="array" ref="P31">INDEX('Owner Pay'!$F$21:$F$83,A31+1)</f>
        <v>196718.2582</v>
      </c>
      <c r="Q31" s="63">
        <f t="array" ref="Q31">INDEX('Owner Pay'!$Z$21:$Z$83,A31+1)</f>
        <v>215818.6668</v>
      </c>
      <c r="R31" s="63">
        <f t="array" ref="R31">INDEX('Owner Pay'!$Y$21:$Y$83,A31+1)</f>
        <v>825683.6027</v>
      </c>
      <c r="S31" s="62" t="str">
        <f t="array" ref="S31">INDEX('Monthly Base'!$AD$5:$AD$67,A31+1)</f>
        <v/>
      </c>
      <c r="T31" s="62" t="str">
        <f>IF(C31=0,"BUILD",IF(Q31&lt;Inputs!$B$80,"BELOW RESERVE","OK"))</f>
        <v>OK</v>
      </c>
    </row>
    <row r="32">
      <c r="A32" s="64">
        <f t="shared" si="1"/>
        <v>25</v>
      </c>
      <c r="B32" s="64" t="str">
        <f t="array" ref="B32">INDEX('Owner Pay'!$B$21:$B$83,A32+1)</f>
        <v>OPEN</v>
      </c>
      <c r="C32" s="64">
        <f t="array" ref="C32">INDEX('Owner Pay'!$C$21:$C$83,A32+1)</f>
        <v>23</v>
      </c>
      <c r="D32" s="64">
        <f t="array" ref="D32">INDEX('Monthly Base'!$G$5:$G$67,A32+1)</f>
        <v>588</v>
      </c>
      <c r="E32" s="63">
        <f t="array" ref="E32">INDEX('Monthly Base'!$I$5:$I$67,A32+1)</f>
        <v>131124</v>
      </c>
      <c r="F32" s="63">
        <f t="array" ref="F32">INDEX('Monthly Base'!$J$5:$J$67,A32+1)</f>
        <v>6500</v>
      </c>
      <c r="G32" s="63">
        <f t="array" ref="G32">INDEX('Owner Pay'!$E$21:$E$83,A32+1)</f>
        <v>0</v>
      </c>
      <c r="H32" s="63">
        <f t="shared" si="2"/>
        <v>137624</v>
      </c>
      <c r="I32" s="63">
        <f t="array" ref="I32">E32+F32-INDEX('Owner Pay'!$D$21:$D$83,A32+1)</f>
        <v>86073.52542</v>
      </c>
      <c r="J32" s="63">
        <f t="array" ref="J32">INDEX('Owner Pay'!$L$21:$L$83,A32+1)</f>
        <v>20881.22078</v>
      </c>
      <c r="K32" s="63">
        <f t="array" ref="K32">INDEX('Owner Pay'!$U$21:$U$83,A32+1)+INDEX('Owner Pay'!$V$21:$V$83,A32+1)</f>
        <v>0</v>
      </c>
      <c r="L32" s="63">
        <f t="array" ref="L32">INDEX('Owner Pay'!$R$21:$R$83,A32+1)</f>
        <v>9709.061373</v>
      </c>
      <c r="M32" s="63">
        <f t="array" ref="M32">INDEX('Owner Pay'!$P$21:$P$83,A32+1)</f>
        <v>0</v>
      </c>
      <c r="N32" s="63">
        <f t="shared" si="3"/>
        <v>116663.8076</v>
      </c>
      <c r="O32" s="63">
        <f t="shared" si="4"/>
        <v>20960.19242</v>
      </c>
      <c r="P32" s="63">
        <f t="array" ref="P32">INDEX('Owner Pay'!$F$21:$F$83,A32+1)</f>
        <v>215818.6668</v>
      </c>
      <c r="Q32" s="63">
        <f t="array" ref="Q32">INDEX('Owner Pay'!$Z$21:$Z$83,A32+1)</f>
        <v>236778.8593</v>
      </c>
      <c r="R32" s="63">
        <f t="array" ref="R32">INDEX('Owner Pay'!$Y$21:$Y$83,A32+1)</f>
        <v>807326.5462</v>
      </c>
      <c r="S32" s="62" t="str">
        <f t="array" ref="S32">INDEX('Monthly Base'!$AD$5:$AD$67,A32+1)</f>
        <v/>
      </c>
      <c r="T32" s="62" t="str">
        <f>IF(C32=0,"BUILD",IF(Q32&lt;Inputs!$B$80,"BELOW RESERVE","OK"))</f>
        <v>OK</v>
      </c>
    </row>
    <row r="33">
      <c r="A33" s="64">
        <f t="shared" si="1"/>
        <v>26</v>
      </c>
      <c r="B33" s="64" t="str">
        <f t="array" ref="B33">INDEX('Owner Pay'!$B$21:$B$83,A33+1)</f>
        <v>OPEN</v>
      </c>
      <c r="C33" s="64">
        <f t="array" ref="C33">INDEX('Owner Pay'!$C$21:$C$83,A33+1)</f>
        <v>24</v>
      </c>
      <c r="D33" s="64">
        <f t="array" ref="D33">INDEX('Monthly Base'!$G$5:$G$67,A33+1)</f>
        <v>600</v>
      </c>
      <c r="E33" s="63">
        <f t="array" ref="E33">INDEX('Monthly Base'!$I$5:$I$67,A33+1)</f>
        <v>133800</v>
      </c>
      <c r="F33" s="63">
        <f t="array" ref="F33">INDEX('Monthly Base'!$J$5:$J$67,A33+1)</f>
        <v>6500</v>
      </c>
      <c r="G33" s="63">
        <f t="array" ref="G33">INDEX('Owner Pay'!$E$21:$E$83,A33+1)</f>
        <v>0</v>
      </c>
      <c r="H33" s="63">
        <f t="shared" si="2"/>
        <v>140300</v>
      </c>
      <c r="I33" s="63">
        <f t="array" ref="I33">E33+F33-INDEX('Owner Pay'!$D$21:$D$83,A33+1)</f>
        <v>86504.40678</v>
      </c>
      <c r="J33" s="63">
        <f t="array" ref="J33">INDEX('Owner Pay'!$L$21:$L$83,A33+1)</f>
        <v>20881.22078</v>
      </c>
      <c r="K33" s="63">
        <f t="array" ref="K33">INDEX('Owner Pay'!$U$21:$U$83,A33+1)+INDEX('Owner Pay'!$V$21:$V$83,A33+1)</f>
        <v>109454.7221</v>
      </c>
      <c r="L33" s="63">
        <f t="array" ref="L33">INDEX('Owner Pay'!$R$21:$R$83,A33+1)</f>
        <v>10238.50956</v>
      </c>
      <c r="M33" s="63">
        <f t="array" ref="M33">INDEX('Owner Pay'!$P$21:$P$83,A33+1)</f>
        <v>0</v>
      </c>
      <c r="N33" s="63">
        <f t="shared" si="3"/>
        <v>227078.8593</v>
      </c>
      <c r="O33" s="63">
        <f t="shared" si="4"/>
        <v>-86778.85925</v>
      </c>
      <c r="P33" s="63">
        <f t="array" ref="P33">INDEX('Owner Pay'!$F$21:$F$83,A33+1)</f>
        <v>236778.8593</v>
      </c>
      <c r="Q33" s="63">
        <f t="array" ref="Q33">INDEX('Owner Pay'!$Z$21:$Z$83,A33+1)</f>
        <v>150000</v>
      </c>
      <c r="R33" s="63">
        <f t="array" ref="R33">INDEX('Owner Pay'!$Y$21:$Y$83,A33+1)</f>
        <v>679457.9376</v>
      </c>
      <c r="S33" s="62" t="str">
        <f t="array" ref="S33">INDEX('Monthly Base'!$AD$5:$AD$67,A33+1)</f>
        <v>YEAR END</v>
      </c>
      <c r="T33" s="62" t="str">
        <f>IF(C33=0,"BUILD",IF(Q33&lt;Inputs!$B$80,"BELOW RESERVE","OK"))</f>
        <v>OK</v>
      </c>
    </row>
    <row r="34">
      <c r="A34" s="64">
        <f t="shared" si="1"/>
        <v>27</v>
      </c>
      <c r="B34" s="64" t="str">
        <f t="array" ref="B34">INDEX('Owner Pay'!$B$21:$B$83,A34+1)</f>
        <v>OPEN</v>
      </c>
      <c r="C34" s="64">
        <f t="array" ref="C34">INDEX('Owner Pay'!$C$21:$C$83,A34+1)</f>
        <v>25</v>
      </c>
      <c r="D34" s="64">
        <f t="array" ref="D34">INDEX('Monthly Base'!$G$5:$G$67,A34+1)</f>
        <v>610</v>
      </c>
      <c r="E34" s="63">
        <f t="array" ref="E34">INDEX('Monthly Base'!$I$5:$I$67,A34+1)</f>
        <v>136030</v>
      </c>
      <c r="F34" s="63">
        <f t="array" ref="F34">INDEX('Monthly Base'!$J$5:$J$67,A34+1)</f>
        <v>6500</v>
      </c>
      <c r="G34" s="63">
        <f t="array" ref="G34">INDEX('Owner Pay'!$E$21:$E$83,A34+1)</f>
        <v>0</v>
      </c>
      <c r="H34" s="63">
        <f t="shared" si="2"/>
        <v>142530</v>
      </c>
      <c r="I34" s="63">
        <f t="array" ref="I34">E34+F34-INDEX('Owner Pay'!$D$21:$D$83,A34+1)</f>
        <v>86863.47458</v>
      </c>
      <c r="J34" s="63">
        <f t="array" ref="J34">INDEX('Owner Pay'!$L$21:$L$83,A34+1)</f>
        <v>20881.22078</v>
      </c>
      <c r="K34" s="63">
        <f t="array" ref="K34">INDEX('Owner Pay'!$U$21:$U$83,A34+1)+INDEX('Owner Pay'!$V$21:$V$83,A34+1)</f>
        <v>0</v>
      </c>
      <c r="L34" s="63">
        <f t="array" ref="L34">INDEX('Owner Pay'!$R$21:$R$83,A34+1)</f>
        <v>10781.59602</v>
      </c>
      <c r="M34" s="63">
        <f t="array" ref="M34">INDEX('Owner Pay'!$P$21:$P$83,A34+1)</f>
        <v>0</v>
      </c>
      <c r="N34" s="63">
        <f t="shared" si="3"/>
        <v>118526.2914</v>
      </c>
      <c r="O34" s="63">
        <f t="shared" si="4"/>
        <v>24003.70863</v>
      </c>
      <c r="P34" s="63">
        <f t="array" ref="P34">INDEX('Owner Pay'!$F$21:$F$83,A34+1)</f>
        <v>150000</v>
      </c>
      <c r="Q34" s="63">
        <f t="array" ref="Q34">INDEX('Owner Pay'!$Z$21:$Z$83,A34+1)</f>
        <v>174003.7086</v>
      </c>
      <c r="R34" s="63">
        <f t="array" ref="R34">INDEX('Owner Pay'!$Y$21:$Y$83,A34+1)</f>
        <v>660553.7378</v>
      </c>
      <c r="S34" s="62" t="str">
        <f t="array" ref="S34">INDEX('Monthly Base'!$AD$5:$AD$67,A34+1)</f>
        <v/>
      </c>
      <c r="T34" s="62" t="str">
        <f>IF(C34=0,"BUILD",IF(Q34&lt;Inputs!$B$80,"BELOW RESERVE","OK"))</f>
        <v>OK</v>
      </c>
    </row>
    <row r="35">
      <c r="A35" s="64">
        <f t="shared" si="1"/>
        <v>28</v>
      </c>
      <c r="B35" s="64" t="str">
        <f t="array" ref="B35">INDEX('Owner Pay'!$B$21:$B$83,A35+1)</f>
        <v>OPEN</v>
      </c>
      <c r="C35" s="64">
        <f t="array" ref="C35">INDEX('Owner Pay'!$C$21:$C$83,A35+1)</f>
        <v>26</v>
      </c>
      <c r="D35" s="64">
        <f t="array" ref="D35">INDEX('Monthly Base'!$G$5:$G$67,A35+1)</f>
        <v>621</v>
      </c>
      <c r="E35" s="63">
        <f t="array" ref="E35">INDEX('Monthly Base'!$I$5:$I$67,A35+1)</f>
        <v>138483</v>
      </c>
      <c r="F35" s="63">
        <f t="array" ref="F35">INDEX('Monthly Base'!$J$5:$J$67,A35+1)</f>
        <v>6500</v>
      </c>
      <c r="G35" s="63">
        <f t="array" ref="G35">INDEX('Owner Pay'!$E$21:$E$83,A35+1)</f>
        <v>0</v>
      </c>
      <c r="H35" s="63">
        <f t="shared" si="2"/>
        <v>144983</v>
      </c>
      <c r="I35" s="63">
        <f t="array" ref="I35">E35+F35-INDEX('Owner Pay'!$D$21:$D$83,A35+1)</f>
        <v>87258.44915</v>
      </c>
      <c r="J35" s="63">
        <f t="array" ref="J35">INDEX('Owner Pay'!$L$21:$L$83,A35+1)</f>
        <v>20881.22078</v>
      </c>
      <c r="K35" s="63">
        <f t="array" ref="K35">INDEX('Owner Pay'!$U$21:$U$83,A35+1)+INDEX('Owner Pay'!$V$21:$V$83,A35+1)</f>
        <v>0</v>
      </c>
      <c r="L35" s="63">
        <f t="array" ref="L35">INDEX('Owner Pay'!$R$21:$R$83,A35+1)</f>
        <v>11268.5109</v>
      </c>
      <c r="M35" s="63">
        <f t="array" ref="M35">INDEX('Owner Pay'!$P$21:$P$83,A35+1)</f>
        <v>0</v>
      </c>
      <c r="N35" s="63">
        <f t="shared" si="3"/>
        <v>119408.1808</v>
      </c>
      <c r="O35" s="63">
        <f t="shared" si="4"/>
        <v>25574.81917</v>
      </c>
      <c r="P35" s="63">
        <f t="array" ref="P35">INDEX('Owner Pay'!$F$21:$F$83,A35+1)</f>
        <v>174003.7086</v>
      </c>
      <c r="Q35" s="63">
        <f t="array" ref="Q35">INDEX('Owner Pay'!$Z$21:$Z$83,A35+1)</f>
        <v>199578.5278</v>
      </c>
      <c r="R35" s="63">
        <f t="array" ref="R35">INDEX('Owner Pay'!$Y$21:$Y$83,A35+1)</f>
        <v>641590.5422</v>
      </c>
      <c r="S35" s="62" t="str">
        <f t="array" ref="S35">INDEX('Monthly Base'!$AD$5:$AD$67,A35+1)</f>
        <v/>
      </c>
      <c r="T35" s="62" t="str">
        <f>IF(C35=0,"BUILD",IF(Q35&lt;Inputs!$B$80,"BELOW RESERVE","OK"))</f>
        <v>OK</v>
      </c>
    </row>
    <row r="36">
      <c r="A36" s="64">
        <f t="shared" si="1"/>
        <v>29</v>
      </c>
      <c r="B36" s="64" t="str">
        <f t="array" ref="B36">INDEX('Owner Pay'!$B$21:$B$83,A36+1)</f>
        <v>OPEN</v>
      </c>
      <c r="C36" s="64">
        <f t="array" ref="C36">INDEX('Owner Pay'!$C$21:$C$83,A36+1)</f>
        <v>27</v>
      </c>
      <c r="D36" s="64">
        <f t="array" ref="D36">INDEX('Monthly Base'!$G$5:$G$67,A36+1)</f>
        <v>631</v>
      </c>
      <c r="E36" s="63">
        <f t="array" ref="E36">INDEX('Monthly Base'!$I$5:$I$67,A36+1)</f>
        <v>140713</v>
      </c>
      <c r="F36" s="63">
        <f t="array" ref="F36">INDEX('Monthly Base'!$J$5:$J$67,A36+1)</f>
        <v>6500</v>
      </c>
      <c r="G36" s="63">
        <f t="array" ref="G36">INDEX('Owner Pay'!$E$21:$E$83,A36+1)</f>
        <v>0</v>
      </c>
      <c r="H36" s="63">
        <f t="shared" si="2"/>
        <v>147213</v>
      </c>
      <c r="I36" s="63">
        <f t="array" ref="I36">E36+F36-INDEX('Owner Pay'!$D$21:$D$83,A36+1)</f>
        <v>87617.51695</v>
      </c>
      <c r="J36" s="63">
        <f t="array" ref="J36">INDEX('Owner Pay'!$L$21:$L$83,A36+1)</f>
        <v>20881.22078</v>
      </c>
      <c r="K36" s="63">
        <f t="array" ref="K36">INDEX('Owner Pay'!$U$21:$U$83,A36+1)+INDEX('Owner Pay'!$V$21:$V$83,A36+1)</f>
        <v>0</v>
      </c>
      <c r="L36" s="63">
        <f t="array" ref="L36">INDEX('Owner Pay'!$R$21:$R$83,A36+1)</f>
        <v>11712.44805</v>
      </c>
      <c r="M36" s="63">
        <f t="array" ref="M36">INDEX('Owner Pay'!$P$21:$P$83,A36+1)</f>
        <v>0</v>
      </c>
      <c r="N36" s="63">
        <f t="shared" si="3"/>
        <v>120211.1858</v>
      </c>
      <c r="O36" s="63">
        <f t="shared" si="4"/>
        <v>27001.81422</v>
      </c>
      <c r="P36" s="63">
        <f t="array" ref="P36">INDEX('Owner Pay'!$F$21:$F$83,A36+1)</f>
        <v>199578.5278</v>
      </c>
      <c r="Q36" s="63">
        <f t="array" ref="Q36">INDEX('Owner Pay'!$Z$21:$Z$83,A36+1)</f>
        <v>226580.342</v>
      </c>
      <c r="R36" s="63">
        <f t="array" ref="R36">INDEX('Owner Pay'!$Y$21:$Y$83,A36+1)</f>
        <v>622568.1173</v>
      </c>
      <c r="S36" s="62" t="str">
        <f t="array" ref="S36">INDEX('Monthly Base'!$AD$5:$AD$67,A36+1)</f>
        <v/>
      </c>
      <c r="T36" s="62" t="str">
        <f>IF(C36=0,"BUILD",IF(Q36&lt;Inputs!$B$80,"BELOW RESERVE","OK"))</f>
        <v>OK</v>
      </c>
    </row>
    <row r="37">
      <c r="A37" s="64">
        <f t="shared" si="1"/>
        <v>30</v>
      </c>
      <c r="B37" s="64" t="str">
        <f t="array" ref="B37">INDEX('Owner Pay'!$B$21:$B$83,A37+1)</f>
        <v>OPEN</v>
      </c>
      <c r="C37" s="64">
        <f t="array" ref="C37">INDEX('Owner Pay'!$C$21:$C$83,A37+1)</f>
        <v>28</v>
      </c>
      <c r="D37" s="64">
        <f t="array" ref="D37">INDEX('Monthly Base'!$G$5:$G$67,A37+1)</f>
        <v>642</v>
      </c>
      <c r="E37" s="63">
        <f t="array" ref="E37">INDEX('Monthly Base'!$I$5:$I$67,A37+1)</f>
        <v>143166</v>
      </c>
      <c r="F37" s="63">
        <f t="array" ref="F37">INDEX('Monthly Base'!$J$5:$J$67,A37+1)</f>
        <v>6500</v>
      </c>
      <c r="G37" s="63">
        <f t="array" ref="G37">INDEX('Owner Pay'!$E$21:$E$83,A37+1)</f>
        <v>0</v>
      </c>
      <c r="H37" s="63">
        <f t="shared" si="2"/>
        <v>149666</v>
      </c>
      <c r="I37" s="63">
        <f t="array" ref="I37">E37+F37-INDEX('Owner Pay'!$D$21:$D$83,A37+1)</f>
        <v>88012.49153</v>
      </c>
      <c r="J37" s="63">
        <f t="array" ref="J37">INDEX('Owner Pay'!$L$21:$L$83,A37+1)</f>
        <v>20881.22078</v>
      </c>
      <c r="K37" s="63">
        <f t="array" ref="K37">INDEX('Owner Pay'!$U$21:$U$83,A37+1)+INDEX('Owner Pay'!$V$21:$V$83,A37+1)</f>
        <v>0</v>
      </c>
      <c r="L37" s="63">
        <f t="array" ref="L37">INDEX('Owner Pay'!$R$21:$R$83,A37+1)</f>
        <v>12199.47056</v>
      </c>
      <c r="M37" s="63">
        <f t="array" ref="M37">INDEX('Owner Pay'!$P$21:$P$83,A37+1)</f>
        <v>0</v>
      </c>
      <c r="N37" s="63">
        <f t="shared" si="3"/>
        <v>121093.1829</v>
      </c>
      <c r="O37" s="63">
        <f t="shared" si="4"/>
        <v>28572.81713</v>
      </c>
      <c r="P37" s="63">
        <f t="array" ref="P37">INDEX('Owner Pay'!$F$21:$F$83,A37+1)</f>
        <v>226580.342</v>
      </c>
      <c r="Q37" s="63">
        <f t="array" ref="Q37">INDEX('Owner Pay'!$Z$21:$Z$83,A37+1)</f>
        <v>255153.1592</v>
      </c>
      <c r="R37" s="63">
        <f t="array" ref="R37">INDEX('Owner Pay'!$Y$21:$Y$83,A37+1)</f>
        <v>603486.2287</v>
      </c>
      <c r="S37" s="62" t="str">
        <f t="array" ref="S37">INDEX('Monthly Base'!$AD$5:$AD$67,A37+1)</f>
        <v/>
      </c>
      <c r="T37" s="62" t="str">
        <f>IF(C37=0,"BUILD",IF(Q37&lt;Inputs!$B$80,"BELOW RESERVE","OK"))</f>
        <v>OK</v>
      </c>
    </row>
    <row r="38">
      <c r="A38" s="64">
        <f t="shared" si="1"/>
        <v>31</v>
      </c>
      <c r="B38" s="64" t="str">
        <f t="array" ref="B38">INDEX('Owner Pay'!$B$21:$B$83,A38+1)</f>
        <v>OPEN</v>
      </c>
      <c r="C38" s="64">
        <f t="array" ref="C38">INDEX('Owner Pay'!$C$21:$C$83,A38+1)</f>
        <v>29</v>
      </c>
      <c r="D38" s="64">
        <f t="array" ref="D38">INDEX('Monthly Base'!$G$5:$G$67,A38+1)</f>
        <v>652</v>
      </c>
      <c r="E38" s="63">
        <f t="array" ref="E38">INDEX('Monthly Base'!$I$5:$I$67,A38+1)</f>
        <v>145396</v>
      </c>
      <c r="F38" s="63">
        <f t="array" ref="F38">INDEX('Monthly Base'!$J$5:$J$67,A38+1)</f>
        <v>6500</v>
      </c>
      <c r="G38" s="63">
        <f t="array" ref="G38">INDEX('Owner Pay'!$E$21:$E$83,A38+1)</f>
        <v>0</v>
      </c>
      <c r="H38" s="63">
        <f t="shared" si="2"/>
        <v>151896</v>
      </c>
      <c r="I38" s="63">
        <f t="array" ref="I38">E38+F38-INDEX('Owner Pay'!$D$21:$D$83,A38+1)</f>
        <v>88371.55932</v>
      </c>
      <c r="J38" s="63">
        <f t="array" ref="J38">INDEX('Owner Pay'!$L$21:$L$83,A38+1)</f>
        <v>20881.22078</v>
      </c>
      <c r="K38" s="63">
        <f t="array" ref="K38">INDEX('Owner Pay'!$U$21:$U$83,A38+1)+INDEX('Owner Pay'!$V$21:$V$83,A38+1)</f>
        <v>0</v>
      </c>
      <c r="L38" s="63">
        <f t="array" ref="L38">INDEX('Owner Pay'!$R$21:$R$83,A38+1)</f>
        <v>12643.51577</v>
      </c>
      <c r="M38" s="63">
        <f t="array" ref="M38">INDEX('Owner Pay'!$P$21:$P$83,A38+1)</f>
        <v>0</v>
      </c>
      <c r="N38" s="63">
        <f t="shared" si="3"/>
        <v>121896.2959</v>
      </c>
      <c r="O38" s="63">
        <f t="shared" si="4"/>
        <v>29999.70413</v>
      </c>
      <c r="P38" s="63">
        <f t="array" ref="P38">INDEX('Owner Pay'!$F$21:$F$83,A38+1)</f>
        <v>255153.1592</v>
      </c>
      <c r="Q38" s="63">
        <f t="array" ref="Q38">INDEX('Owner Pay'!$Z$21:$Z$83,A38+1)</f>
        <v>285152.8633</v>
      </c>
      <c r="R38" s="63">
        <f t="array" ref="R38">INDEX('Owner Pay'!$Y$21:$Y$83,A38+1)</f>
        <v>584344.6409</v>
      </c>
      <c r="S38" s="62" t="str">
        <f t="array" ref="S38">INDEX('Monthly Base'!$AD$5:$AD$67,A38+1)</f>
        <v/>
      </c>
      <c r="T38" s="62" t="str">
        <f>IF(C38=0,"BUILD",IF(Q38&lt;Inputs!$B$80,"BELOW RESERVE","OK"))</f>
        <v>OK</v>
      </c>
    </row>
    <row r="39">
      <c r="A39" s="64">
        <f t="shared" si="1"/>
        <v>32</v>
      </c>
      <c r="B39" s="64" t="str">
        <f t="array" ref="B39">INDEX('Owner Pay'!$B$21:$B$83,A39+1)</f>
        <v>OPEN</v>
      </c>
      <c r="C39" s="64">
        <f t="array" ref="C39">INDEX('Owner Pay'!$C$21:$C$83,A39+1)</f>
        <v>30</v>
      </c>
      <c r="D39" s="64">
        <f t="array" ref="D39">INDEX('Monthly Base'!$G$5:$G$67,A39+1)</f>
        <v>663</v>
      </c>
      <c r="E39" s="63">
        <f t="array" ref="E39">INDEX('Monthly Base'!$I$5:$I$67,A39+1)</f>
        <v>147849</v>
      </c>
      <c r="F39" s="63">
        <f t="array" ref="F39">INDEX('Monthly Base'!$J$5:$J$67,A39+1)</f>
        <v>6500</v>
      </c>
      <c r="G39" s="63">
        <f t="array" ref="G39">INDEX('Owner Pay'!$E$21:$E$83,A39+1)</f>
        <v>0</v>
      </c>
      <c r="H39" s="63">
        <f t="shared" si="2"/>
        <v>154349</v>
      </c>
      <c r="I39" s="63">
        <f t="array" ref="I39">E39+F39-INDEX('Owner Pay'!$D$21:$D$83,A39+1)</f>
        <v>88766.5339</v>
      </c>
      <c r="J39" s="63">
        <f t="array" ref="J39">INDEX('Owner Pay'!$L$21:$L$83,A39+1)</f>
        <v>20881.22078</v>
      </c>
      <c r="K39" s="63">
        <f t="array" ref="K39">INDEX('Owner Pay'!$U$21:$U$83,A39+1)+INDEX('Owner Pay'!$V$21:$V$83,A39+1)</f>
        <v>166723.4618</v>
      </c>
      <c r="L39" s="63">
        <f t="array" ref="L39">INDEX('Owner Pay'!$R$21:$R$83,A39+1)</f>
        <v>13130.64677</v>
      </c>
      <c r="M39" s="63">
        <f t="array" ref="M39">INDEX('Owner Pay'!$P$21:$P$83,A39+1)</f>
        <v>0</v>
      </c>
      <c r="N39" s="63">
        <f t="shared" si="3"/>
        <v>289501.8633</v>
      </c>
      <c r="O39" s="63">
        <f t="shared" si="4"/>
        <v>-135152.8633</v>
      </c>
      <c r="P39" s="63">
        <f t="array" ref="P39">INDEX('Owner Pay'!$F$21:$F$83,A39+1)</f>
        <v>285152.8633</v>
      </c>
      <c r="Q39" s="63">
        <f t="array" ref="Q39">INDEX('Owner Pay'!$Z$21:$Z$83,A39+1)</f>
        <v>150000</v>
      </c>
      <c r="R39" s="63">
        <f t="array" ref="R39">INDEX('Owner Pay'!$Y$21:$Y$83,A39+1)</f>
        <v>398419.6558</v>
      </c>
      <c r="S39" s="62" t="str">
        <f t="array" ref="S39">INDEX('Monthly Base'!$AD$5:$AD$67,A39+1)</f>
        <v/>
      </c>
      <c r="T39" s="62" t="str">
        <f>IF(C39=0,"BUILD",IF(Q39&lt;Inputs!$B$80,"BELOW RESERVE","OK"))</f>
        <v>OK</v>
      </c>
    </row>
    <row r="40">
      <c r="A40" s="64">
        <f t="shared" si="1"/>
        <v>33</v>
      </c>
      <c r="B40" s="64" t="str">
        <f t="array" ref="B40">INDEX('Owner Pay'!$B$21:$B$83,A40+1)</f>
        <v>OPEN</v>
      </c>
      <c r="C40" s="64">
        <f t="array" ref="C40">INDEX('Owner Pay'!$C$21:$C$83,A40+1)</f>
        <v>31</v>
      </c>
      <c r="D40" s="64">
        <f t="array" ref="D40">INDEX('Monthly Base'!$G$5:$G$67,A40+1)</f>
        <v>673</v>
      </c>
      <c r="E40" s="63">
        <f t="array" ref="E40">INDEX('Monthly Base'!$I$5:$I$67,A40+1)</f>
        <v>150079</v>
      </c>
      <c r="F40" s="63">
        <f t="array" ref="F40">INDEX('Monthly Base'!$J$5:$J$67,A40+1)</f>
        <v>6500</v>
      </c>
      <c r="G40" s="63">
        <f t="array" ref="G40">INDEX('Owner Pay'!$E$21:$E$83,A40+1)</f>
        <v>0</v>
      </c>
      <c r="H40" s="63">
        <f t="shared" si="2"/>
        <v>156579</v>
      </c>
      <c r="I40" s="63">
        <f t="array" ref="I40">E40+F40-INDEX('Owner Pay'!$D$21:$D$83,A40+1)</f>
        <v>89125.60169</v>
      </c>
      <c r="J40" s="63">
        <f t="array" ref="J40">INDEX('Owner Pay'!$L$21:$L$83,A40+1)</f>
        <v>20881.22078</v>
      </c>
      <c r="K40" s="63">
        <f t="array" ref="K40">INDEX('Owner Pay'!$U$21:$U$83,A40+1)+INDEX('Owner Pay'!$V$21:$V$83,A40+1)</f>
        <v>0</v>
      </c>
      <c r="L40" s="63">
        <f t="array" ref="L40">INDEX('Owner Pay'!$R$21:$R$83,A40+1)</f>
        <v>13726.58872</v>
      </c>
      <c r="M40" s="63">
        <f t="array" ref="M40">INDEX('Owner Pay'!$P$21:$P$83,A40+1)</f>
        <v>0</v>
      </c>
      <c r="N40" s="63">
        <f t="shared" si="3"/>
        <v>123733.4112</v>
      </c>
      <c r="O40" s="63">
        <f t="shared" si="4"/>
        <v>32845.58881</v>
      </c>
      <c r="P40" s="63">
        <f t="array" ref="P40">INDEX('Owner Pay'!$F$21:$F$83,A40+1)</f>
        <v>150000</v>
      </c>
      <c r="Q40" s="63">
        <f t="array" ref="Q40">INDEX('Owner Pay'!$Z$21:$Z$83,A40+1)</f>
        <v>182845.5888</v>
      </c>
      <c r="R40" s="63">
        <f t="array" ref="R40">INDEX('Owner Pay'!$Y$21:$Y$83,A40+1)</f>
        <v>378498.0128</v>
      </c>
      <c r="S40" s="62" t="str">
        <f t="array" ref="S40">INDEX('Monthly Base'!$AD$5:$AD$67,A40+1)</f>
        <v/>
      </c>
      <c r="T40" s="62" t="str">
        <f>IF(C40=0,"BUILD",IF(Q40&lt;Inputs!$B$80,"BELOW RESERVE","OK"))</f>
        <v>OK</v>
      </c>
    </row>
    <row r="41">
      <c r="A41" s="64">
        <f t="shared" si="1"/>
        <v>34</v>
      </c>
      <c r="B41" s="64" t="str">
        <f t="array" ref="B41">INDEX('Owner Pay'!$B$21:$B$83,A41+1)</f>
        <v>OPEN</v>
      </c>
      <c r="C41" s="64">
        <f t="array" ref="C41">INDEX('Owner Pay'!$C$21:$C$83,A41+1)</f>
        <v>32</v>
      </c>
      <c r="D41" s="64">
        <f t="array" ref="D41">INDEX('Monthly Base'!$G$5:$G$67,A41+1)</f>
        <v>683</v>
      </c>
      <c r="E41" s="63">
        <f t="array" ref="E41">INDEX('Monthly Base'!$I$5:$I$67,A41+1)</f>
        <v>152309</v>
      </c>
      <c r="F41" s="63">
        <f t="array" ref="F41">INDEX('Monthly Base'!$J$5:$J$67,A41+1)</f>
        <v>6500</v>
      </c>
      <c r="G41" s="63">
        <f t="array" ref="G41">INDEX('Owner Pay'!$E$21:$E$83,A41+1)</f>
        <v>0</v>
      </c>
      <c r="H41" s="63">
        <f t="shared" si="2"/>
        <v>158809</v>
      </c>
      <c r="I41" s="63">
        <f t="array" ref="I41">E41+F41-INDEX('Owner Pay'!$D$21:$D$83,A41+1)</f>
        <v>89484.66949</v>
      </c>
      <c r="J41" s="63">
        <f t="array" ref="J41">INDEX('Owner Pay'!$L$21:$L$83,A41+1)</f>
        <v>20881.22078</v>
      </c>
      <c r="K41" s="63">
        <f t="array" ref="K41">INDEX('Owner Pay'!$U$21:$U$83,A41+1)+INDEX('Owner Pay'!$V$21:$V$83,A41+1)</f>
        <v>0</v>
      </c>
      <c r="L41" s="63">
        <f t="array" ref="L41">INDEX('Owner Pay'!$R$21:$R$83,A41+1)</f>
        <v>14171.39845</v>
      </c>
      <c r="M41" s="63">
        <f t="array" ref="M41">INDEX('Owner Pay'!$P$21:$P$83,A41+1)</f>
        <v>0</v>
      </c>
      <c r="N41" s="63">
        <f t="shared" si="3"/>
        <v>124537.2887</v>
      </c>
      <c r="O41" s="63">
        <f t="shared" si="4"/>
        <v>34271.71128</v>
      </c>
      <c r="P41" s="63">
        <f t="array" ref="P41">INDEX('Owner Pay'!$F$21:$F$83,A41+1)</f>
        <v>182845.5888</v>
      </c>
      <c r="Q41" s="63">
        <f t="array" ref="Q41">INDEX('Owner Pay'!$Z$21:$Z$83,A41+1)</f>
        <v>217117.3001</v>
      </c>
      <c r="R41" s="63">
        <f t="array" ref="R41">INDEX('Owner Pay'!$Y$21:$Y$83,A41+1)</f>
        <v>358513.3467</v>
      </c>
      <c r="S41" s="62" t="str">
        <f t="array" ref="S41">INDEX('Monthly Base'!$AD$5:$AD$67,A41+1)</f>
        <v/>
      </c>
      <c r="T41" s="62" t="str">
        <f>IF(C41=0,"BUILD",IF(Q41&lt;Inputs!$B$80,"BELOW RESERVE","OK"))</f>
        <v>OK</v>
      </c>
    </row>
    <row r="42">
      <c r="A42" s="64">
        <f t="shared" si="1"/>
        <v>35</v>
      </c>
      <c r="B42" s="64" t="str">
        <f t="array" ref="B42">INDEX('Owner Pay'!$B$21:$B$83,A42+1)</f>
        <v>OPEN</v>
      </c>
      <c r="C42" s="64">
        <f t="array" ref="C42">INDEX('Owner Pay'!$C$21:$C$83,A42+1)</f>
        <v>33</v>
      </c>
      <c r="D42" s="64">
        <f t="array" ref="D42">INDEX('Monthly Base'!$G$5:$G$67,A42+1)</f>
        <v>694</v>
      </c>
      <c r="E42" s="63">
        <f t="array" ref="E42">INDEX('Monthly Base'!$I$5:$I$67,A42+1)</f>
        <v>154762</v>
      </c>
      <c r="F42" s="63">
        <f t="array" ref="F42">INDEX('Monthly Base'!$J$5:$J$67,A42+1)</f>
        <v>6500</v>
      </c>
      <c r="G42" s="63">
        <f t="array" ref="G42">INDEX('Owner Pay'!$E$21:$E$83,A42+1)</f>
        <v>0</v>
      </c>
      <c r="H42" s="63">
        <f t="shared" si="2"/>
        <v>161262</v>
      </c>
      <c r="I42" s="63">
        <f t="array" ref="I42">E42+F42-INDEX('Owner Pay'!$D$21:$D$83,A42+1)</f>
        <v>89879.64407</v>
      </c>
      <c r="J42" s="63">
        <f t="array" ref="J42">INDEX('Owner Pay'!$L$21:$L$83,A42+1)</f>
        <v>20881.22078</v>
      </c>
      <c r="K42" s="63">
        <f t="array" ref="K42">INDEX('Owner Pay'!$U$21:$U$83,A42+1)+INDEX('Owner Pay'!$V$21:$V$83,A42+1)</f>
        <v>0</v>
      </c>
      <c r="L42" s="63">
        <f t="array" ref="L42">INDEX('Owner Pay'!$R$21:$R$83,A42+1)</f>
        <v>14659.29701</v>
      </c>
      <c r="M42" s="63">
        <f t="array" ref="M42">INDEX('Owner Pay'!$P$21:$P$83,A42+1)</f>
        <v>0</v>
      </c>
      <c r="N42" s="63">
        <f t="shared" si="3"/>
        <v>125420.1619</v>
      </c>
      <c r="O42" s="63">
        <f t="shared" si="4"/>
        <v>35841.83815</v>
      </c>
      <c r="P42" s="63">
        <f t="array" ref="P42">INDEX('Owner Pay'!$F$21:$F$83,A42+1)</f>
        <v>217117.3001</v>
      </c>
      <c r="Q42" s="63">
        <f t="array" ref="Q42">INDEX('Owner Pay'!$Z$21:$Z$83,A42+1)</f>
        <v>252959.1382</v>
      </c>
      <c r="R42" s="63">
        <f t="array" ref="R42">INDEX('Owner Pay'!$Y$21:$Y$83,A42+1)</f>
        <v>338465.4079</v>
      </c>
      <c r="S42" s="62" t="str">
        <f t="array" ref="S42">INDEX('Monthly Base'!$AD$5:$AD$67,A42+1)</f>
        <v/>
      </c>
      <c r="T42" s="62" t="str">
        <f>IF(C42=0,"BUILD",IF(Q42&lt;Inputs!$B$80,"BELOW RESERVE","OK"))</f>
        <v>OK</v>
      </c>
    </row>
    <row r="43">
      <c r="A43" s="64">
        <f t="shared" si="1"/>
        <v>36</v>
      </c>
      <c r="B43" s="64" t="str">
        <f t="array" ref="B43">INDEX('Owner Pay'!$B$21:$B$83,A43+1)</f>
        <v>OPEN</v>
      </c>
      <c r="C43" s="64">
        <f t="array" ref="C43">INDEX('Owner Pay'!$C$21:$C$83,A43+1)</f>
        <v>34</v>
      </c>
      <c r="D43" s="64">
        <f t="array" ref="D43">INDEX('Monthly Base'!$G$5:$G$67,A43+1)</f>
        <v>704</v>
      </c>
      <c r="E43" s="63">
        <f t="array" ref="E43">INDEX('Monthly Base'!$I$5:$I$67,A43+1)</f>
        <v>156992</v>
      </c>
      <c r="F43" s="63">
        <f t="array" ref="F43">INDEX('Monthly Base'!$J$5:$J$67,A43+1)</f>
        <v>6500</v>
      </c>
      <c r="G43" s="63">
        <f t="array" ref="G43">INDEX('Owner Pay'!$E$21:$E$83,A43+1)</f>
        <v>0</v>
      </c>
      <c r="H43" s="63">
        <f t="shared" si="2"/>
        <v>163492</v>
      </c>
      <c r="I43" s="63">
        <f t="array" ref="I43">E43+F43-INDEX('Owner Pay'!$D$21:$D$83,A43+1)</f>
        <v>90238.71186</v>
      </c>
      <c r="J43" s="63">
        <f t="array" ref="J43">INDEX('Owner Pay'!$L$21:$L$83,A43+1)</f>
        <v>20881.22078</v>
      </c>
      <c r="K43" s="63">
        <f t="array" ref="K43">INDEX('Owner Pay'!$U$21:$U$83,A43+1)+INDEX('Owner Pay'!$V$21:$V$83,A43+1)</f>
        <v>0</v>
      </c>
      <c r="L43" s="63">
        <f t="array" ref="L43">INDEX('Owner Pay'!$R$21:$R$83,A43+1)</f>
        <v>15104.22172</v>
      </c>
      <c r="M43" s="63">
        <f t="array" ref="M43">INDEX('Owner Pay'!$P$21:$P$83,A43+1)</f>
        <v>0</v>
      </c>
      <c r="N43" s="63">
        <f t="shared" si="3"/>
        <v>126224.1544</v>
      </c>
      <c r="O43" s="63">
        <f t="shared" si="4"/>
        <v>37267.84563</v>
      </c>
      <c r="P43" s="63">
        <f t="array" ref="P43">INDEX('Owner Pay'!$F$21:$F$83,A43+1)</f>
        <v>252959.1382</v>
      </c>
      <c r="Q43" s="63">
        <f t="array" ref="Q43">INDEX('Owner Pay'!$Z$21:$Z$83,A43+1)</f>
        <v>290226.9839</v>
      </c>
      <c r="R43" s="63">
        <f t="array" ref="R43">INDEX('Owner Pay'!$Y$21:$Y$83,A43+1)</f>
        <v>318353.946</v>
      </c>
      <c r="S43" s="62" t="str">
        <f t="array" ref="S43">INDEX('Monthly Base'!$AD$5:$AD$67,A43+1)</f>
        <v/>
      </c>
      <c r="T43" s="62" t="str">
        <f>IF(C43=0,"BUILD",IF(Q43&lt;Inputs!$B$80,"BELOW RESERVE","OK"))</f>
        <v>OK</v>
      </c>
    </row>
    <row r="44">
      <c r="A44" s="64">
        <f t="shared" si="1"/>
        <v>37</v>
      </c>
      <c r="B44" s="64" t="str">
        <f t="array" ref="B44">INDEX('Owner Pay'!$B$21:$B$83,A44+1)</f>
        <v>OPEN</v>
      </c>
      <c r="C44" s="64">
        <f t="array" ref="C44">INDEX('Owner Pay'!$C$21:$C$83,A44+1)</f>
        <v>35</v>
      </c>
      <c r="D44" s="64">
        <f t="array" ref="D44">INDEX('Monthly Base'!$G$5:$G$67,A44+1)</f>
        <v>715</v>
      </c>
      <c r="E44" s="63">
        <f t="array" ref="E44">INDEX('Monthly Base'!$I$5:$I$67,A44+1)</f>
        <v>159445</v>
      </c>
      <c r="F44" s="63">
        <f t="array" ref="F44">INDEX('Monthly Base'!$J$5:$J$67,A44+1)</f>
        <v>6500</v>
      </c>
      <c r="G44" s="63">
        <f t="array" ref="G44">INDEX('Owner Pay'!$E$21:$E$83,A44+1)</f>
        <v>0</v>
      </c>
      <c r="H44" s="63">
        <f t="shared" si="2"/>
        <v>165945</v>
      </c>
      <c r="I44" s="63">
        <f t="array" ref="I44">E44+F44-INDEX('Owner Pay'!$D$21:$D$83,A44+1)</f>
        <v>90633.68644</v>
      </c>
      <c r="J44" s="63">
        <f t="array" ref="J44">INDEX('Owner Pay'!$L$21:$L$83,A44+1)</f>
        <v>20881.22078</v>
      </c>
      <c r="K44" s="63">
        <f t="array" ref="K44">INDEX('Owner Pay'!$U$21:$U$83,A44+1)+INDEX('Owner Pay'!$V$21:$V$83,A44+1)</f>
        <v>0</v>
      </c>
      <c r="L44" s="63">
        <f t="array" ref="L44">INDEX('Owner Pay'!$R$21:$R$83,A44+1)</f>
        <v>15592.23571</v>
      </c>
      <c r="M44" s="63">
        <f t="array" ref="M44">INDEX('Owner Pay'!$P$21:$P$83,A44+1)</f>
        <v>0</v>
      </c>
      <c r="N44" s="63">
        <f t="shared" si="3"/>
        <v>127107.1429</v>
      </c>
      <c r="O44" s="63">
        <f t="shared" si="4"/>
        <v>38837.85706</v>
      </c>
      <c r="P44" s="63">
        <f t="array" ref="P44">INDEX('Owner Pay'!$F$21:$F$83,A44+1)</f>
        <v>290226.9839</v>
      </c>
      <c r="Q44" s="63">
        <f t="array" ref="Q44">INDEX('Owner Pay'!$Z$21:$Z$83,A44+1)</f>
        <v>329064.8409</v>
      </c>
      <c r="R44" s="63">
        <f t="array" ref="R44">INDEX('Owner Pay'!$Y$21:$Y$83,A44+1)</f>
        <v>298178.7096</v>
      </c>
      <c r="S44" s="62" t="str">
        <f t="array" ref="S44">INDEX('Monthly Base'!$AD$5:$AD$67,A44+1)</f>
        <v/>
      </c>
      <c r="T44" s="62" t="str">
        <f>IF(C44=0,"BUILD",IF(Q44&lt;Inputs!$B$80,"BELOW RESERVE","OK"))</f>
        <v>OK</v>
      </c>
    </row>
    <row r="45">
      <c r="A45" s="64">
        <f t="shared" si="1"/>
        <v>38</v>
      </c>
      <c r="B45" s="64" t="str">
        <f t="array" ref="B45">INDEX('Owner Pay'!$B$21:$B$83,A45+1)</f>
        <v>OPEN</v>
      </c>
      <c r="C45" s="64">
        <f t="array" ref="C45">INDEX('Owner Pay'!$C$21:$C$83,A45+1)</f>
        <v>36</v>
      </c>
      <c r="D45" s="64">
        <f t="array" ref="D45">INDEX('Monthly Base'!$G$5:$G$67,A45+1)</f>
        <v>725</v>
      </c>
      <c r="E45" s="63">
        <f t="array" ref="E45">INDEX('Monthly Base'!$I$5:$I$67,A45+1)</f>
        <v>161675</v>
      </c>
      <c r="F45" s="63">
        <f t="array" ref="F45">INDEX('Monthly Base'!$J$5:$J$67,A45+1)</f>
        <v>6500</v>
      </c>
      <c r="G45" s="63">
        <f t="array" ref="G45">INDEX('Owner Pay'!$E$21:$E$83,A45+1)</f>
        <v>0</v>
      </c>
      <c r="H45" s="63">
        <f t="shared" si="2"/>
        <v>168175</v>
      </c>
      <c r="I45" s="63">
        <f t="array" ref="I45">E45+F45-INDEX('Owner Pay'!$D$21:$D$83,A45+1)</f>
        <v>90992.75424</v>
      </c>
      <c r="J45" s="63">
        <f t="array" ref="J45">INDEX('Owner Pay'!$L$21:$L$83,A45+1)</f>
        <v>20881.22078</v>
      </c>
      <c r="K45" s="63">
        <f t="array" ref="K45">INDEX('Owner Pay'!$U$21:$U$83,A45+1)+INDEX('Owner Pay'!$V$21:$V$83,A45+1)</f>
        <v>219328.5896</v>
      </c>
      <c r="L45" s="63">
        <f t="array" ref="L45">INDEX('Owner Pay'!$R$21:$R$83,A45+1)</f>
        <v>16037.27633</v>
      </c>
      <c r="M45" s="63">
        <f t="array" ref="M45">INDEX('Owner Pay'!$P$21:$P$83,A45+1)</f>
        <v>0</v>
      </c>
      <c r="N45" s="63">
        <f t="shared" si="3"/>
        <v>347239.8409</v>
      </c>
      <c r="O45" s="63">
        <f t="shared" si="4"/>
        <v>-179064.8409</v>
      </c>
      <c r="P45" s="63">
        <f t="array" ref="P45">INDEX('Owner Pay'!$F$21:$F$83,A45+1)</f>
        <v>329064.8409</v>
      </c>
      <c r="Q45" s="63">
        <f t="array" ref="Q45">INDEX('Owner Pay'!$Z$21:$Z$83,A45+1)</f>
        <v>150000</v>
      </c>
      <c r="R45" s="63">
        <f t="array" ref="R45">INDEX('Owner Pay'!$Y$21:$Y$83,A45+1)</f>
        <v>58610.85664</v>
      </c>
      <c r="S45" s="62" t="str">
        <f t="array" ref="S45">INDEX('Monthly Base'!$AD$5:$AD$67,A45+1)</f>
        <v>YEAR END</v>
      </c>
      <c r="T45" s="62" t="str">
        <f>IF(C45=0,"BUILD",IF(Q45&lt;Inputs!$B$80,"BELOW RESERVE","OK"))</f>
        <v>OK</v>
      </c>
    </row>
    <row r="46">
      <c r="A46" s="64">
        <f t="shared" si="1"/>
        <v>39</v>
      </c>
      <c r="B46" s="64" t="str">
        <f t="array" ref="B46">INDEX('Owner Pay'!$B$21:$B$83,A46+1)</f>
        <v>OPEN</v>
      </c>
      <c r="C46" s="64">
        <f t="array" ref="C46">INDEX('Owner Pay'!$C$21:$C$83,A46+1)</f>
        <v>37</v>
      </c>
      <c r="D46" s="64">
        <f t="array" ref="D46">INDEX('Monthly Base'!$G$5:$G$67,A46+1)</f>
        <v>731</v>
      </c>
      <c r="E46" s="63">
        <f t="array" ref="E46">INDEX('Monthly Base'!$I$5:$I$67,A46+1)</f>
        <v>163013</v>
      </c>
      <c r="F46" s="63">
        <f t="array" ref="F46">INDEX('Monthly Base'!$J$5:$J$67,A46+1)</f>
        <v>6500</v>
      </c>
      <c r="G46" s="63">
        <f t="array" ref="G46">INDEX('Owner Pay'!$E$21:$E$83,A46+1)</f>
        <v>0</v>
      </c>
      <c r="H46" s="63">
        <f t="shared" si="2"/>
        <v>169513</v>
      </c>
      <c r="I46" s="63">
        <f t="array" ref="I46">E46+F46-INDEX('Owner Pay'!$D$21:$D$83,A46+1)</f>
        <v>91208.19492</v>
      </c>
      <c r="J46" s="63">
        <f t="array" ref="J46">INDEX('Owner Pay'!$L$21:$L$83,A46+1)</f>
        <v>4000</v>
      </c>
      <c r="K46" s="63">
        <f t="array" ref="K46">INDEX('Owner Pay'!$U$21:$U$83,A46+1)+INDEX('Owner Pay'!$V$21:$V$83,A46+1)</f>
        <v>0</v>
      </c>
      <c r="L46" s="63">
        <f t="array" ref="L46">INDEX('Owner Pay'!$R$21:$R$83,A46+1)</f>
        <v>16443.11517</v>
      </c>
      <c r="M46" s="63">
        <f t="array" ref="M46">INDEX('Owner Pay'!$P$21:$P$83,A46+1)</f>
        <v>0</v>
      </c>
      <c r="N46" s="63">
        <f t="shared" si="3"/>
        <v>111651.3101</v>
      </c>
      <c r="O46" s="63">
        <f t="shared" si="4"/>
        <v>57861.68992</v>
      </c>
      <c r="P46" s="63">
        <f t="array" ref="P46">INDEX('Owner Pay'!$F$21:$F$83,A46+1)</f>
        <v>150000</v>
      </c>
      <c r="Q46" s="63">
        <f t="array" ref="Q46">INDEX('Owner Pay'!$Z$21:$Z$83,A46+1)</f>
        <v>207861.6899</v>
      </c>
      <c r="R46" s="63">
        <f t="array" ref="R46">INDEX('Owner Pay'!$Y$21:$Y$83,A46+1)</f>
        <v>54610.85664</v>
      </c>
      <c r="S46" s="62" t="str">
        <f t="array" ref="S46">INDEX('Monthly Base'!$AD$5:$AD$67,A46+1)</f>
        <v/>
      </c>
      <c r="T46" s="62" t="str">
        <f>IF(C46=0,"BUILD",IF(Q46&lt;Inputs!$B$80,"BELOW RESERVE","OK"))</f>
        <v>OK</v>
      </c>
    </row>
    <row r="47">
      <c r="A47" s="64">
        <f t="shared" si="1"/>
        <v>40</v>
      </c>
      <c r="B47" s="64" t="str">
        <f t="array" ref="B47">INDEX('Owner Pay'!$B$21:$B$83,A47+1)</f>
        <v>OPEN</v>
      </c>
      <c r="C47" s="64">
        <f t="array" ref="C47">INDEX('Owner Pay'!$C$21:$C$83,A47+1)</f>
        <v>38</v>
      </c>
      <c r="D47" s="64">
        <f t="array" ref="D47">INDEX('Monthly Base'!$G$5:$G$67,A47+1)</f>
        <v>738</v>
      </c>
      <c r="E47" s="63">
        <f t="array" ref="E47">INDEX('Monthly Base'!$I$5:$I$67,A47+1)</f>
        <v>164574</v>
      </c>
      <c r="F47" s="63">
        <f t="array" ref="F47">INDEX('Monthly Base'!$J$5:$J$67,A47+1)</f>
        <v>6500</v>
      </c>
      <c r="G47" s="63">
        <f t="array" ref="G47">INDEX('Owner Pay'!$E$21:$E$83,A47+1)</f>
        <v>0</v>
      </c>
      <c r="H47" s="63">
        <f t="shared" si="2"/>
        <v>171074</v>
      </c>
      <c r="I47" s="63">
        <f t="array" ref="I47">E47+F47-INDEX('Owner Pay'!$D$21:$D$83,A47+1)</f>
        <v>91459.54237</v>
      </c>
      <c r="J47" s="63">
        <f t="array" ref="J47">INDEX('Owner Pay'!$L$21:$L$83,A47+1)</f>
        <v>4000</v>
      </c>
      <c r="K47" s="63">
        <f t="array" ref="K47">INDEX('Owner Pay'!$U$21:$U$83,A47+1)+INDEX('Owner Pay'!$V$21:$V$83,A47+1)</f>
        <v>0</v>
      </c>
      <c r="L47" s="63">
        <f t="array" ref="L47">INDEX('Owner Pay'!$R$21:$R$83,A47+1)</f>
        <v>16744.33525</v>
      </c>
      <c r="M47" s="63">
        <f t="array" ref="M47">INDEX('Owner Pay'!$P$21:$P$83,A47+1)</f>
        <v>0</v>
      </c>
      <c r="N47" s="63">
        <f t="shared" si="3"/>
        <v>112203.8776</v>
      </c>
      <c r="O47" s="63">
        <f t="shared" si="4"/>
        <v>58870.12237</v>
      </c>
      <c r="P47" s="63">
        <f t="array" ref="P47">INDEX('Owner Pay'!$F$21:$F$83,A47+1)</f>
        <v>207861.6899</v>
      </c>
      <c r="Q47" s="63">
        <f t="array" ref="Q47">INDEX('Owner Pay'!$Z$21:$Z$83,A47+1)</f>
        <v>266731.8123</v>
      </c>
      <c r="R47" s="63">
        <f t="array" ref="R47">INDEX('Owner Pay'!$Y$21:$Y$83,A47+1)</f>
        <v>50610.85664</v>
      </c>
      <c r="S47" s="62" t="str">
        <f t="array" ref="S47">INDEX('Monthly Base'!$AD$5:$AD$67,A47+1)</f>
        <v/>
      </c>
      <c r="T47" s="62" t="str">
        <f>IF(C47=0,"BUILD",IF(Q47&lt;Inputs!$B$80,"BELOW RESERVE","OK"))</f>
        <v>OK</v>
      </c>
    </row>
    <row r="48">
      <c r="A48" s="64">
        <f t="shared" si="1"/>
        <v>41</v>
      </c>
      <c r="B48" s="64" t="str">
        <f t="array" ref="B48">INDEX('Owner Pay'!$B$21:$B$83,A48+1)</f>
        <v>OPEN</v>
      </c>
      <c r="C48" s="64">
        <f t="array" ref="C48">INDEX('Owner Pay'!$C$21:$C$83,A48+1)</f>
        <v>39</v>
      </c>
      <c r="D48" s="64">
        <f t="array" ref="D48">INDEX('Monthly Base'!$G$5:$G$67,A48+1)</f>
        <v>744</v>
      </c>
      <c r="E48" s="63">
        <f t="array" ref="E48">INDEX('Monthly Base'!$I$5:$I$67,A48+1)</f>
        <v>165912</v>
      </c>
      <c r="F48" s="63">
        <f t="array" ref="F48">INDEX('Monthly Base'!$J$5:$J$67,A48+1)</f>
        <v>6500</v>
      </c>
      <c r="G48" s="63">
        <f t="array" ref="G48">INDEX('Owner Pay'!$E$21:$E$83,A48+1)</f>
        <v>0</v>
      </c>
      <c r="H48" s="63">
        <f t="shared" si="2"/>
        <v>172412</v>
      </c>
      <c r="I48" s="63">
        <f t="array" ref="I48">E48+F48-INDEX('Owner Pay'!$D$21:$D$83,A48+1)</f>
        <v>91674.98305</v>
      </c>
      <c r="J48" s="63">
        <f t="array" ref="J48">INDEX('Owner Pay'!$L$21:$L$83,A48+1)</f>
        <v>4000</v>
      </c>
      <c r="K48" s="63">
        <f t="array" ref="K48">INDEX('Owner Pay'!$U$21:$U$83,A48+1)+INDEX('Owner Pay'!$V$21:$V$83,A48+1)</f>
        <v>0</v>
      </c>
      <c r="L48" s="63">
        <f t="array" ref="L48">INDEX('Owner Pay'!$R$21:$R$83,A48+1)</f>
        <v>17002.5239</v>
      </c>
      <c r="M48" s="63">
        <f t="array" ref="M48">INDEX('Owner Pay'!$P$21:$P$83,A48+1)</f>
        <v>0</v>
      </c>
      <c r="N48" s="63">
        <f t="shared" si="3"/>
        <v>112677.5069</v>
      </c>
      <c r="O48" s="63">
        <f t="shared" si="4"/>
        <v>59734.49305</v>
      </c>
      <c r="P48" s="63">
        <f t="array" ref="P48">INDEX('Owner Pay'!$F$21:$F$83,A48+1)</f>
        <v>266731.8123</v>
      </c>
      <c r="Q48" s="63">
        <f t="array" ref="Q48">INDEX('Owner Pay'!$Z$21:$Z$83,A48+1)</f>
        <v>326466.3053</v>
      </c>
      <c r="R48" s="63">
        <f t="array" ref="R48">INDEX('Owner Pay'!$Y$21:$Y$83,A48+1)</f>
        <v>46610.85664</v>
      </c>
      <c r="S48" s="62" t="str">
        <f t="array" ref="S48">INDEX('Monthly Base'!$AD$5:$AD$67,A48+1)</f>
        <v/>
      </c>
      <c r="T48" s="62" t="str">
        <f>IF(C48=0,"BUILD",IF(Q48&lt;Inputs!$B$80,"BELOW RESERVE","OK"))</f>
        <v>OK</v>
      </c>
    </row>
    <row r="49">
      <c r="A49" s="64">
        <f t="shared" si="1"/>
        <v>42</v>
      </c>
      <c r="B49" s="64" t="str">
        <f t="array" ref="B49">INDEX('Owner Pay'!$B$21:$B$83,A49+1)</f>
        <v>OPEN</v>
      </c>
      <c r="C49" s="64">
        <f t="array" ref="C49">INDEX('Owner Pay'!$C$21:$C$83,A49+1)</f>
        <v>40</v>
      </c>
      <c r="D49" s="64">
        <f t="array" ref="D49">INDEX('Monthly Base'!$G$5:$G$67,A49+1)</f>
        <v>750</v>
      </c>
      <c r="E49" s="63">
        <f t="array" ref="E49">INDEX('Monthly Base'!$I$5:$I$67,A49+1)</f>
        <v>167250</v>
      </c>
      <c r="F49" s="63">
        <f t="array" ref="F49">INDEX('Monthly Base'!$J$5:$J$67,A49+1)</f>
        <v>6500</v>
      </c>
      <c r="G49" s="63">
        <f t="array" ref="G49">INDEX('Owner Pay'!$E$21:$E$83,A49+1)</f>
        <v>0</v>
      </c>
      <c r="H49" s="63">
        <f t="shared" si="2"/>
        <v>173750</v>
      </c>
      <c r="I49" s="63">
        <f t="array" ref="I49">E49+F49-INDEX('Owner Pay'!$D$21:$D$83,A49+1)</f>
        <v>91890.42373</v>
      </c>
      <c r="J49" s="63">
        <f t="array" ref="J49">INDEX('Owner Pay'!$L$21:$L$83,A49+1)</f>
        <v>4000</v>
      </c>
      <c r="K49" s="63">
        <f t="array" ref="K49">INDEX('Owner Pay'!$U$21:$U$83,A49+1)+INDEX('Owner Pay'!$V$21:$V$83,A49+1)</f>
        <v>0</v>
      </c>
      <c r="L49" s="63">
        <f t="array" ref="L49">INDEX('Owner Pay'!$R$21:$R$83,A49+1)</f>
        <v>17260.71254</v>
      </c>
      <c r="M49" s="63">
        <f t="array" ref="M49">INDEX('Owner Pay'!$P$21:$P$83,A49+1)</f>
        <v>0</v>
      </c>
      <c r="N49" s="63">
        <f t="shared" si="3"/>
        <v>113151.1363</v>
      </c>
      <c r="O49" s="63">
        <f t="shared" si="4"/>
        <v>60598.86373</v>
      </c>
      <c r="P49" s="63">
        <f t="array" ref="P49">INDEX('Owner Pay'!$F$21:$F$83,A49+1)</f>
        <v>326466.3053</v>
      </c>
      <c r="Q49" s="63">
        <f t="array" ref="Q49">INDEX('Owner Pay'!$Z$21:$Z$83,A49+1)</f>
        <v>387065.1691</v>
      </c>
      <c r="R49" s="63">
        <f t="array" ref="R49">INDEX('Owner Pay'!$Y$21:$Y$83,A49+1)</f>
        <v>42610.85664</v>
      </c>
      <c r="S49" s="62" t="str">
        <f t="array" ref="S49">INDEX('Monthly Base'!$AD$5:$AD$67,A49+1)</f>
        <v/>
      </c>
      <c r="T49" s="62" t="str">
        <f>IF(C49=0,"BUILD",IF(Q49&lt;Inputs!$B$80,"BELOW RESERVE","OK"))</f>
        <v>OK</v>
      </c>
    </row>
    <row r="50">
      <c r="A50" s="64">
        <f t="shared" si="1"/>
        <v>43</v>
      </c>
      <c r="B50" s="64" t="str">
        <f t="array" ref="B50">INDEX('Owner Pay'!$B$21:$B$83,A50+1)</f>
        <v>OPEN</v>
      </c>
      <c r="C50" s="64">
        <f t="array" ref="C50">INDEX('Owner Pay'!$C$21:$C$83,A50+1)</f>
        <v>41</v>
      </c>
      <c r="D50" s="64">
        <f t="array" ref="D50">INDEX('Monthly Base'!$G$5:$G$67,A50+1)</f>
        <v>756</v>
      </c>
      <c r="E50" s="63">
        <f t="array" ref="E50">INDEX('Monthly Base'!$I$5:$I$67,A50+1)</f>
        <v>168588</v>
      </c>
      <c r="F50" s="63">
        <f t="array" ref="F50">INDEX('Monthly Base'!$J$5:$J$67,A50+1)</f>
        <v>6500</v>
      </c>
      <c r="G50" s="63">
        <f t="array" ref="G50">INDEX('Owner Pay'!$E$21:$E$83,A50+1)</f>
        <v>0</v>
      </c>
      <c r="H50" s="63">
        <f t="shared" si="2"/>
        <v>175088</v>
      </c>
      <c r="I50" s="63">
        <f t="array" ref="I50">E50+F50-INDEX('Owner Pay'!$D$21:$D$83,A50+1)</f>
        <v>92105.86441</v>
      </c>
      <c r="J50" s="63">
        <f t="array" ref="J50">INDEX('Owner Pay'!$L$21:$L$83,A50+1)</f>
        <v>4000</v>
      </c>
      <c r="K50" s="63">
        <f t="array" ref="K50">INDEX('Owner Pay'!$U$21:$U$83,A50+1)+INDEX('Owner Pay'!$V$21:$V$83,A50+1)</f>
        <v>0</v>
      </c>
      <c r="L50" s="63">
        <f t="array" ref="L50">INDEX('Owner Pay'!$R$21:$R$83,A50+1)</f>
        <v>17518.90119</v>
      </c>
      <c r="M50" s="63">
        <f t="array" ref="M50">INDEX('Owner Pay'!$P$21:$P$83,A50+1)</f>
        <v>0</v>
      </c>
      <c r="N50" s="63">
        <f t="shared" si="3"/>
        <v>113624.7656</v>
      </c>
      <c r="O50" s="63">
        <f t="shared" si="4"/>
        <v>61463.23441</v>
      </c>
      <c r="P50" s="63">
        <f t="array" ref="P50">INDEX('Owner Pay'!$F$21:$F$83,A50+1)</f>
        <v>387065.1691</v>
      </c>
      <c r="Q50" s="63">
        <f t="array" ref="Q50">INDEX('Owner Pay'!$Z$21:$Z$83,A50+1)</f>
        <v>448528.4035</v>
      </c>
      <c r="R50" s="63">
        <f t="array" ref="R50">INDEX('Owner Pay'!$Y$21:$Y$83,A50+1)</f>
        <v>38610.85664</v>
      </c>
      <c r="S50" s="62" t="str">
        <f t="array" ref="S50">INDEX('Monthly Base'!$AD$5:$AD$67,A50+1)</f>
        <v/>
      </c>
      <c r="T50" s="62" t="str">
        <f>IF(C50=0,"BUILD",IF(Q50&lt;Inputs!$B$80,"BELOW RESERVE","OK"))</f>
        <v>OK</v>
      </c>
    </row>
    <row r="51">
      <c r="A51" s="64">
        <f t="shared" si="1"/>
        <v>44</v>
      </c>
      <c r="B51" s="64" t="str">
        <f t="array" ref="B51">INDEX('Owner Pay'!$B$21:$B$83,A51+1)</f>
        <v>OPEN</v>
      </c>
      <c r="C51" s="64">
        <f t="array" ref="C51">INDEX('Owner Pay'!$C$21:$C$83,A51+1)</f>
        <v>42</v>
      </c>
      <c r="D51" s="64">
        <f t="array" ref="D51">INDEX('Monthly Base'!$G$5:$G$67,A51+1)</f>
        <v>763</v>
      </c>
      <c r="E51" s="63">
        <f t="array" ref="E51">INDEX('Monthly Base'!$I$5:$I$67,A51+1)</f>
        <v>170149</v>
      </c>
      <c r="F51" s="63">
        <f t="array" ref="F51">INDEX('Monthly Base'!$J$5:$J$67,A51+1)</f>
        <v>6500</v>
      </c>
      <c r="G51" s="63">
        <f t="array" ref="G51">INDEX('Owner Pay'!$E$21:$E$83,A51+1)</f>
        <v>0</v>
      </c>
      <c r="H51" s="63">
        <f t="shared" si="2"/>
        <v>176649</v>
      </c>
      <c r="I51" s="63">
        <f t="array" ref="I51">E51+F51-INDEX('Owner Pay'!$D$21:$D$83,A51+1)</f>
        <v>92357.21186</v>
      </c>
      <c r="J51" s="63">
        <f t="array" ref="J51">INDEX('Owner Pay'!$L$21:$L$83,A51+1)</f>
        <v>4000</v>
      </c>
      <c r="K51" s="63">
        <f t="array" ref="K51">INDEX('Owner Pay'!$U$21:$U$83,A51+1)+INDEX('Owner Pay'!$V$21:$V$83,A51+1)</f>
        <v>34610.85664</v>
      </c>
      <c r="L51" s="63">
        <f t="array" ref="L51">INDEX('Owner Pay'!$R$21:$R$83,A51+1)</f>
        <v>17820.12127</v>
      </c>
      <c r="M51" s="63">
        <f t="array" ref="M51">INDEX('Owner Pay'!$P$21:$P$83,A51+1)</f>
        <v>0</v>
      </c>
      <c r="N51" s="63">
        <f t="shared" si="3"/>
        <v>148788.1898</v>
      </c>
      <c r="O51" s="63">
        <f t="shared" si="4"/>
        <v>27860.81022</v>
      </c>
      <c r="P51" s="63">
        <f t="array" ref="P51">INDEX('Owner Pay'!$F$21:$F$83,A51+1)</f>
        <v>448528.4035</v>
      </c>
      <c r="Q51" s="63">
        <f t="array" ref="Q51">INDEX('Owner Pay'!$Z$21:$Z$83,A51+1)</f>
        <v>476389.2137</v>
      </c>
      <c r="R51" s="63">
        <f t="array" ref="R51">INDEX('Owner Pay'!$Y$21:$Y$83,A51+1)</f>
        <v>0</v>
      </c>
      <c r="S51" s="62" t="str">
        <f t="array" ref="S51">INDEX('Monthly Base'!$AD$5:$AD$67,A51+1)</f>
        <v/>
      </c>
      <c r="T51" s="62" t="str">
        <f>IF(C51=0,"BUILD",IF(Q51&lt;Inputs!$B$80,"BELOW RESERVE","OK"))</f>
        <v>OK</v>
      </c>
    </row>
    <row r="52">
      <c r="A52" s="64">
        <f t="shared" si="1"/>
        <v>45</v>
      </c>
      <c r="B52" s="64" t="str">
        <f t="array" ref="B52">INDEX('Owner Pay'!$B$21:$B$83,A52+1)</f>
        <v>OPEN</v>
      </c>
      <c r="C52" s="64">
        <f t="array" ref="C52">INDEX('Owner Pay'!$C$21:$C$83,A52+1)</f>
        <v>43</v>
      </c>
      <c r="D52" s="64">
        <f t="array" ref="D52">INDEX('Monthly Base'!$G$5:$G$67,A52+1)</f>
        <v>769</v>
      </c>
      <c r="E52" s="63">
        <f t="array" ref="E52">INDEX('Monthly Base'!$I$5:$I$67,A52+1)</f>
        <v>171487</v>
      </c>
      <c r="F52" s="63">
        <f t="array" ref="F52">INDEX('Monthly Base'!$J$5:$J$67,A52+1)</f>
        <v>6500</v>
      </c>
      <c r="G52" s="63">
        <f t="array" ref="G52">INDEX('Owner Pay'!$E$21:$E$83,A52+1)</f>
        <v>0</v>
      </c>
      <c r="H52" s="63">
        <f t="shared" si="2"/>
        <v>177987</v>
      </c>
      <c r="I52" s="63">
        <f t="array" ref="I52">E52+F52-INDEX('Owner Pay'!$D$21:$D$83,A52+1)</f>
        <v>92572.65254</v>
      </c>
      <c r="J52" s="63">
        <f t="array" ref="J52">INDEX('Owner Pay'!$L$21:$L$83,A52+1)</f>
        <v>0</v>
      </c>
      <c r="K52" s="63">
        <f t="array" ref="K52">INDEX('Owner Pay'!$U$21:$U$83,A52+1)+INDEX('Owner Pay'!$V$21:$V$83,A52+1)</f>
        <v>0</v>
      </c>
      <c r="L52" s="63">
        <f t="array" ref="L52">INDEX('Owner Pay'!$R$21:$R$83,A52+1)</f>
        <v>18078.30992</v>
      </c>
      <c r="M52" s="63">
        <f t="array" ref="M52">INDEX('Owner Pay'!$P$21:$P$83,A52+1)</f>
        <v>0</v>
      </c>
      <c r="N52" s="63">
        <f t="shared" si="3"/>
        <v>110650.9625</v>
      </c>
      <c r="O52" s="63">
        <f t="shared" si="4"/>
        <v>67336.03754</v>
      </c>
      <c r="P52" s="63">
        <f t="array" ref="P52">INDEX('Owner Pay'!$F$21:$F$83,A52+1)</f>
        <v>476389.2137</v>
      </c>
      <c r="Q52" s="63">
        <f t="array" ref="Q52">INDEX('Owner Pay'!$Z$21:$Z$83,A52+1)</f>
        <v>543725.2512</v>
      </c>
      <c r="R52" s="63">
        <f t="array" ref="R52">INDEX('Owner Pay'!$Y$21:$Y$83,A52+1)</f>
        <v>0</v>
      </c>
      <c r="S52" s="62" t="str">
        <f t="array" ref="S52">INDEX('Monthly Base'!$AD$5:$AD$67,A52+1)</f>
        <v/>
      </c>
      <c r="T52" s="62" t="str">
        <f>IF(C52=0,"BUILD",IF(Q52&lt;Inputs!$B$80,"BELOW RESERVE","OK"))</f>
        <v>OK</v>
      </c>
    </row>
    <row r="53">
      <c r="A53" s="64">
        <f t="shared" si="1"/>
        <v>46</v>
      </c>
      <c r="B53" s="64" t="str">
        <f t="array" ref="B53">INDEX('Owner Pay'!$B$21:$B$83,A53+1)</f>
        <v>OPEN</v>
      </c>
      <c r="C53" s="64">
        <f t="array" ref="C53">INDEX('Owner Pay'!$C$21:$C$83,A53+1)</f>
        <v>44</v>
      </c>
      <c r="D53" s="64">
        <f t="array" ref="D53">INDEX('Monthly Base'!$G$5:$G$67,A53+1)</f>
        <v>775</v>
      </c>
      <c r="E53" s="63">
        <f t="array" ref="E53">INDEX('Monthly Base'!$I$5:$I$67,A53+1)</f>
        <v>172825</v>
      </c>
      <c r="F53" s="63">
        <f t="array" ref="F53">INDEX('Monthly Base'!$J$5:$J$67,A53+1)</f>
        <v>6500</v>
      </c>
      <c r="G53" s="63">
        <f t="array" ref="G53">INDEX('Owner Pay'!$E$21:$E$83,A53+1)</f>
        <v>0</v>
      </c>
      <c r="H53" s="63">
        <f t="shared" si="2"/>
        <v>179325</v>
      </c>
      <c r="I53" s="63">
        <f t="array" ref="I53">E53+F53-INDEX('Owner Pay'!$D$21:$D$83,A53+1)</f>
        <v>92788.09322</v>
      </c>
      <c r="J53" s="63">
        <f t="array" ref="J53">INDEX('Owner Pay'!$L$21:$L$83,A53+1)</f>
        <v>0</v>
      </c>
      <c r="K53" s="63">
        <f t="array" ref="K53">INDEX('Owner Pay'!$U$21:$U$83,A53+1)+INDEX('Owner Pay'!$V$21:$V$83,A53+1)</f>
        <v>0</v>
      </c>
      <c r="L53" s="63">
        <f t="array" ref="L53">INDEX('Owner Pay'!$R$21:$R$83,A53+1)</f>
        <v>18336.49856</v>
      </c>
      <c r="M53" s="63">
        <f t="array" ref="M53">INDEX('Owner Pay'!$P$21:$P$83,A53+1)</f>
        <v>0</v>
      </c>
      <c r="N53" s="63">
        <f t="shared" si="3"/>
        <v>111124.5918</v>
      </c>
      <c r="O53" s="63">
        <f t="shared" si="4"/>
        <v>68200.40822</v>
      </c>
      <c r="P53" s="63">
        <f t="array" ref="P53">INDEX('Owner Pay'!$F$21:$F$83,A53+1)</f>
        <v>543725.2512</v>
      </c>
      <c r="Q53" s="63">
        <f t="array" ref="Q53">INDEX('Owner Pay'!$Z$21:$Z$83,A53+1)</f>
        <v>611925.6595</v>
      </c>
      <c r="R53" s="63">
        <f t="array" ref="R53">INDEX('Owner Pay'!$Y$21:$Y$83,A53+1)</f>
        <v>0</v>
      </c>
      <c r="S53" s="62" t="str">
        <f t="array" ref="S53">INDEX('Monthly Base'!$AD$5:$AD$67,A53+1)</f>
        <v/>
      </c>
      <c r="T53" s="62" t="str">
        <f>IF(C53=0,"BUILD",IF(Q53&lt;Inputs!$B$80,"BELOW RESERVE","OK"))</f>
        <v>OK</v>
      </c>
    </row>
    <row r="54">
      <c r="A54" s="64">
        <f t="shared" si="1"/>
        <v>47</v>
      </c>
      <c r="B54" s="64" t="str">
        <f t="array" ref="B54">INDEX('Owner Pay'!$B$21:$B$83,A54+1)</f>
        <v>OPEN</v>
      </c>
      <c r="C54" s="64">
        <f t="array" ref="C54">INDEX('Owner Pay'!$C$21:$C$83,A54+1)</f>
        <v>45</v>
      </c>
      <c r="D54" s="64">
        <f t="array" ref="D54">INDEX('Monthly Base'!$G$5:$G$67,A54+1)</f>
        <v>781</v>
      </c>
      <c r="E54" s="63">
        <f t="array" ref="E54">INDEX('Monthly Base'!$I$5:$I$67,A54+1)</f>
        <v>174163</v>
      </c>
      <c r="F54" s="63">
        <f t="array" ref="F54">INDEX('Monthly Base'!$J$5:$J$67,A54+1)</f>
        <v>6500</v>
      </c>
      <c r="G54" s="63">
        <f t="array" ref="G54">INDEX('Owner Pay'!$E$21:$E$83,A54+1)</f>
        <v>0</v>
      </c>
      <c r="H54" s="63">
        <f t="shared" si="2"/>
        <v>180663</v>
      </c>
      <c r="I54" s="63">
        <f t="array" ref="I54">E54+F54-INDEX('Owner Pay'!$D$21:$D$83,A54+1)</f>
        <v>93003.5339</v>
      </c>
      <c r="J54" s="63">
        <f t="array" ref="J54">INDEX('Owner Pay'!$L$21:$L$83,A54+1)</f>
        <v>0</v>
      </c>
      <c r="K54" s="63">
        <f t="array" ref="K54">INDEX('Owner Pay'!$U$21:$U$83,A54+1)+INDEX('Owner Pay'!$V$21:$V$83,A54+1)</f>
        <v>0</v>
      </c>
      <c r="L54" s="63">
        <f t="array" ref="L54">INDEX('Owner Pay'!$R$21:$R$83,A54+1)</f>
        <v>18594.6872</v>
      </c>
      <c r="M54" s="63">
        <f t="array" ref="M54">INDEX('Owner Pay'!$P$21:$P$83,A54+1)</f>
        <v>0</v>
      </c>
      <c r="N54" s="63">
        <f t="shared" si="3"/>
        <v>111598.2211</v>
      </c>
      <c r="O54" s="63">
        <f t="shared" si="4"/>
        <v>69064.7789</v>
      </c>
      <c r="P54" s="63">
        <f t="array" ref="P54">INDEX('Owner Pay'!$F$21:$F$83,A54+1)</f>
        <v>611925.6595</v>
      </c>
      <c r="Q54" s="63">
        <f t="array" ref="Q54">INDEX('Owner Pay'!$Z$21:$Z$83,A54+1)</f>
        <v>680990.4384</v>
      </c>
      <c r="R54" s="63">
        <f t="array" ref="R54">INDEX('Owner Pay'!$Y$21:$Y$83,A54+1)</f>
        <v>0</v>
      </c>
      <c r="S54" s="62" t="str">
        <f t="array" ref="S54">INDEX('Monthly Base'!$AD$5:$AD$67,A54+1)</f>
        <v/>
      </c>
      <c r="T54" s="62" t="str">
        <f>IF(C54=0,"BUILD",IF(Q54&lt;Inputs!$B$80,"BELOW RESERVE","OK"))</f>
        <v>OK</v>
      </c>
    </row>
    <row r="55">
      <c r="A55" s="64">
        <f t="shared" si="1"/>
        <v>48</v>
      </c>
      <c r="B55" s="64" t="str">
        <f t="array" ref="B55">INDEX('Owner Pay'!$B$21:$B$83,A55+1)</f>
        <v>OPEN</v>
      </c>
      <c r="C55" s="64">
        <f t="array" ref="C55">INDEX('Owner Pay'!$C$21:$C$83,A55+1)</f>
        <v>46</v>
      </c>
      <c r="D55" s="64">
        <f t="array" ref="D55">INDEX('Monthly Base'!$G$5:$G$67,A55+1)</f>
        <v>788</v>
      </c>
      <c r="E55" s="63">
        <f t="array" ref="E55">INDEX('Monthly Base'!$I$5:$I$67,A55+1)</f>
        <v>175724</v>
      </c>
      <c r="F55" s="63">
        <f t="array" ref="F55">INDEX('Monthly Base'!$J$5:$J$67,A55+1)</f>
        <v>6500</v>
      </c>
      <c r="G55" s="63">
        <f t="array" ref="G55">INDEX('Owner Pay'!$E$21:$E$83,A55+1)</f>
        <v>0</v>
      </c>
      <c r="H55" s="63">
        <f t="shared" si="2"/>
        <v>182224</v>
      </c>
      <c r="I55" s="63">
        <f t="array" ref="I55">E55+F55-INDEX('Owner Pay'!$D$21:$D$83,A55+1)</f>
        <v>93254.88136</v>
      </c>
      <c r="J55" s="63">
        <f t="array" ref="J55">INDEX('Owner Pay'!$L$21:$L$83,A55+1)</f>
        <v>0</v>
      </c>
      <c r="K55" s="63">
        <f t="array" ref="K55">INDEX('Owner Pay'!$U$21:$U$83,A55+1)+INDEX('Owner Pay'!$V$21:$V$83,A55+1)</f>
        <v>0</v>
      </c>
      <c r="L55" s="63">
        <f t="array" ref="L55">INDEX('Owner Pay'!$R$21:$R$83,A55+1)</f>
        <v>18895.90729</v>
      </c>
      <c r="M55" s="63">
        <f t="array" ref="M55">INDEX('Owner Pay'!$P$21:$P$83,A55+1)</f>
        <v>0</v>
      </c>
      <c r="N55" s="63">
        <f t="shared" si="3"/>
        <v>112150.7886</v>
      </c>
      <c r="O55" s="63">
        <f t="shared" si="4"/>
        <v>70073.21136</v>
      </c>
      <c r="P55" s="63">
        <f t="array" ref="P55">INDEX('Owner Pay'!$F$21:$F$83,A55+1)</f>
        <v>680990.4384</v>
      </c>
      <c r="Q55" s="63">
        <f t="array" ref="Q55">INDEX('Owner Pay'!$Z$21:$Z$83,A55+1)</f>
        <v>751063.6497</v>
      </c>
      <c r="R55" s="63">
        <f t="array" ref="R55">INDEX('Owner Pay'!$Y$21:$Y$83,A55+1)</f>
        <v>0</v>
      </c>
      <c r="S55" s="62" t="str">
        <f t="array" ref="S55">INDEX('Monthly Base'!$AD$5:$AD$67,A55+1)</f>
        <v/>
      </c>
      <c r="T55" s="62" t="str">
        <f>IF(C55=0,"BUILD",IF(Q55&lt;Inputs!$B$80,"BELOW RESERVE","OK"))</f>
        <v>OK</v>
      </c>
    </row>
    <row r="56">
      <c r="A56" s="64">
        <f t="shared" si="1"/>
        <v>49</v>
      </c>
      <c r="B56" s="64" t="str">
        <f t="array" ref="B56">INDEX('Owner Pay'!$B$21:$B$83,A56+1)</f>
        <v>OPEN</v>
      </c>
      <c r="C56" s="64">
        <f t="array" ref="C56">INDEX('Owner Pay'!$C$21:$C$83,A56+1)</f>
        <v>47</v>
      </c>
      <c r="D56" s="64">
        <f t="array" ref="D56">INDEX('Monthly Base'!$G$5:$G$67,A56+1)</f>
        <v>794</v>
      </c>
      <c r="E56" s="63">
        <f t="array" ref="E56">INDEX('Monthly Base'!$I$5:$I$67,A56+1)</f>
        <v>177062</v>
      </c>
      <c r="F56" s="63">
        <f t="array" ref="F56">INDEX('Monthly Base'!$J$5:$J$67,A56+1)</f>
        <v>6500</v>
      </c>
      <c r="G56" s="63">
        <f t="array" ref="G56">INDEX('Owner Pay'!$E$21:$E$83,A56+1)</f>
        <v>0</v>
      </c>
      <c r="H56" s="63">
        <f t="shared" si="2"/>
        <v>183562</v>
      </c>
      <c r="I56" s="63">
        <f t="array" ref="I56">E56+F56-INDEX('Owner Pay'!$D$21:$D$83,A56+1)</f>
        <v>93470.32203</v>
      </c>
      <c r="J56" s="63">
        <f t="array" ref="J56">INDEX('Owner Pay'!$L$21:$L$83,A56+1)</f>
        <v>0</v>
      </c>
      <c r="K56" s="63">
        <f t="array" ref="K56">INDEX('Owner Pay'!$U$21:$U$83,A56+1)+INDEX('Owner Pay'!$V$21:$V$83,A56+1)</f>
        <v>0</v>
      </c>
      <c r="L56" s="63">
        <f t="array" ref="L56">INDEX('Owner Pay'!$R$21:$R$83,A56+1)</f>
        <v>19154.09593</v>
      </c>
      <c r="M56" s="63">
        <f t="array" ref="M56">INDEX('Owner Pay'!$P$21:$P$83,A56+1)</f>
        <v>0</v>
      </c>
      <c r="N56" s="63">
        <f t="shared" si="3"/>
        <v>112624.418</v>
      </c>
      <c r="O56" s="63">
        <f t="shared" si="4"/>
        <v>70937.58203</v>
      </c>
      <c r="P56" s="63">
        <f t="array" ref="P56">INDEX('Owner Pay'!$F$21:$F$83,A56+1)</f>
        <v>751063.6497</v>
      </c>
      <c r="Q56" s="63">
        <f t="array" ref="Q56">INDEX('Owner Pay'!$Z$21:$Z$83,A56+1)</f>
        <v>822001.2317</v>
      </c>
      <c r="R56" s="63">
        <f t="array" ref="R56">INDEX('Owner Pay'!$Y$21:$Y$83,A56+1)</f>
        <v>0</v>
      </c>
      <c r="S56" s="62" t="str">
        <f t="array" ref="S56">INDEX('Monthly Base'!$AD$5:$AD$67,A56+1)</f>
        <v/>
      </c>
      <c r="T56" s="62" t="str">
        <f>IF(C56=0,"BUILD",IF(Q56&lt;Inputs!$B$80,"BELOW RESERVE","OK"))</f>
        <v>OK</v>
      </c>
    </row>
    <row r="57">
      <c r="A57" s="64">
        <f t="shared" si="1"/>
        <v>50</v>
      </c>
      <c r="B57" s="64" t="str">
        <f t="array" ref="B57">INDEX('Owner Pay'!$B$21:$B$83,A57+1)</f>
        <v>OPEN</v>
      </c>
      <c r="C57" s="64">
        <f t="array" ref="C57">INDEX('Owner Pay'!$C$21:$C$83,A57+1)</f>
        <v>48</v>
      </c>
      <c r="D57" s="64">
        <f t="array" ref="D57">INDEX('Monthly Base'!$G$5:$G$67,A57+1)</f>
        <v>800</v>
      </c>
      <c r="E57" s="63">
        <f t="array" ref="E57">INDEX('Monthly Base'!$I$5:$I$67,A57+1)</f>
        <v>178400</v>
      </c>
      <c r="F57" s="63">
        <f t="array" ref="F57">INDEX('Monthly Base'!$J$5:$J$67,A57+1)</f>
        <v>6500</v>
      </c>
      <c r="G57" s="63">
        <f t="array" ref="G57">INDEX('Owner Pay'!$E$21:$E$83,A57+1)</f>
        <v>0</v>
      </c>
      <c r="H57" s="63">
        <f t="shared" si="2"/>
        <v>184900</v>
      </c>
      <c r="I57" s="63">
        <f t="array" ref="I57">E57+F57-INDEX('Owner Pay'!$D$21:$D$83,A57+1)</f>
        <v>93685.76271</v>
      </c>
      <c r="J57" s="63">
        <f t="array" ref="J57">INDEX('Owner Pay'!$L$21:$L$83,A57+1)</f>
        <v>0</v>
      </c>
      <c r="K57" s="63">
        <f t="array" ref="K57">INDEX('Owner Pay'!$U$21:$U$83,A57+1)+INDEX('Owner Pay'!$V$21:$V$83,A57+1)</f>
        <v>0</v>
      </c>
      <c r="L57" s="63">
        <f t="array" ref="L57">INDEX('Owner Pay'!$R$21:$R$83,A57+1)</f>
        <v>19412.28458</v>
      </c>
      <c r="M57" s="63">
        <f t="array" ref="M57">INDEX('Owner Pay'!$P$21:$P$83,A57+1)</f>
        <v>0</v>
      </c>
      <c r="N57" s="63">
        <f t="shared" si="3"/>
        <v>113098.0473</v>
      </c>
      <c r="O57" s="63">
        <f t="shared" si="4"/>
        <v>71801.95271</v>
      </c>
      <c r="P57" s="63">
        <f t="array" ref="P57">INDEX('Owner Pay'!$F$21:$F$83,A57+1)</f>
        <v>822001.2317</v>
      </c>
      <c r="Q57" s="63">
        <f t="array" ref="Q57">INDEX('Owner Pay'!$Z$21:$Z$83,A57+1)</f>
        <v>893803.1845</v>
      </c>
      <c r="R57" s="63">
        <f t="array" ref="R57">INDEX('Owner Pay'!$Y$21:$Y$83,A57+1)</f>
        <v>0</v>
      </c>
      <c r="S57" s="62" t="str">
        <f t="array" ref="S57">INDEX('Monthly Base'!$AD$5:$AD$67,A57+1)</f>
        <v>YEAR END</v>
      </c>
      <c r="T57" s="62" t="str">
        <f>IF(C57=0,"BUILD",IF(Q57&lt;Inputs!$B$80,"BELOW RESERVE","OK"))</f>
        <v>OK</v>
      </c>
    </row>
    <row r="58">
      <c r="A58" s="64">
        <f t="shared" si="1"/>
        <v>51</v>
      </c>
      <c r="B58" s="64" t="str">
        <f t="array" ref="B58">INDEX('Owner Pay'!$B$21:$B$83,A58+1)</f>
        <v>OPEN</v>
      </c>
      <c r="C58" s="64">
        <f t="array" ref="C58">INDEX('Owner Pay'!$C$21:$C$83,A58+1)</f>
        <v>49</v>
      </c>
      <c r="D58" s="64">
        <f t="array" ref="D58">INDEX('Monthly Base'!$G$5:$G$67,A58+1)</f>
        <v>804</v>
      </c>
      <c r="E58" s="63">
        <f t="array" ref="E58">INDEX('Monthly Base'!$I$5:$I$67,A58+1)</f>
        <v>179292</v>
      </c>
      <c r="F58" s="63">
        <f t="array" ref="F58">INDEX('Monthly Base'!$J$5:$J$67,A58+1)</f>
        <v>6500</v>
      </c>
      <c r="G58" s="63">
        <f t="array" ref="G58">INDEX('Owner Pay'!$E$21:$E$83,A58+1)</f>
        <v>0</v>
      </c>
      <c r="H58" s="63">
        <f t="shared" si="2"/>
        <v>185792</v>
      </c>
      <c r="I58" s="63">
        <f t="array" ref="I58">E58+F58-INDEX('Owner Pay'!$D$21:$D$83,A58+1)</f>
        <v>93829.38983</v>
      </c>
      <c r="J58" s="63">
        <f t="array" ref="J58">INDEX('Owner Pay'!$L$21:$L$83,A58+1)</f>
        <v>0</v>
      </c>
      <c r="K58" s="63">
        <f t="array" ref="K58">INDEX('Owner Pay'!$U$21:$U$83,A58+1)+INDEX('Owner Pay'!$V$21:$V$83,A58+1)</f>
        <v>0</v>
      </c>
      <c r="L58" s="63">
        <f t="array" ref="L58">INDEX('Owner Pay'!$R$21:$R$83,A58+1)</f>
        <v>19584.41034</v>
      </c>
      <c r="M58" s="63">
        <f t="array" ref="M58">INDEX('Owner Pay'!$P$21:$P$83,A58+1)</f>
        <v>0</v>
      </c>
      <c r="N58" s="63">
        <f t="shared" si="3"/>
        <v>113413.8002</v>
      </c>
      <c r="O58" s="63">
        <f t="shared" si="4"/>
        <v>72378.19983</v>
      </c>
      <c r="P58" s="63">
        <f t="array" ref="P58">INDEX('Owner Pay'!$F$21:$F$83,A58+1)</f>
        <v>893803.1845</v>
      </c>
      <c r="Q58" s="63">
        <f t="array" ref="Q58">INDEX('Owner Pay'!$Z$21:$Z$83,A58+1)</f>
        <v>966181.3843</v>
      </c>
      <c r="R58" s="63">
        <f t="array" ref="R58">INDEX('Owner Pay'!$Y$21:$Y$83,A58+1)</f>
        <v>0</v>
      </c>
      <c r="S58" s="62" t="str">
        <f t="array" ref="S58">INDEX('Monthly Base'!$AD$5:$AD$67,A58+1)</f>
        <v/>
      </c>
      <c r="T58" s="62" t="str">
        <f>IF(C58=0,"BUILD",IF(Q58&lt;Inputs!$B$80,"BELOW RESERVE","OK"))</f>
        <v>OK</v>
      </c>
    </row>
    <row r="59">
      <c r="A59" s="64">
        <f t="shared" si="1"/>
        <v>52</v>
      </c>
      <c r="B59" s="64" t="str">
        <f t="array" ref="B59">INDEX('Owner Pay'!$B$21:$B$83,A59+1)</f>
        <v>OPEN</v>
      </c>
      <c r="C59" s="64">
        <f t="array" ref="C59">INDEX('Owner Pay'!$C$21:$C$83,A59+1)</f>
        <v>50</v>
      </c>
      <c r="D59" s="64">
        <f t="array" ref="D59">INDEX('Monthly Base'!$G$5:$G$67,A59+1)</f>
        <v>808</v>
      </c>
      <c r="E59" s="63">
        <f t="array" ref="E59">INDEX('Monthly Base'!$I$5:$I$67,A59+1)</f>
        <v>180184</v>
      </c>
      <c r="F59" s="63">
        <f t="array" ref="F59">INDEX('Monthly Base'!$J$5:$J$67,A59+1)</f>
        <v>6500</v>
      </c>
      <c r="G59" s="63">
        <f t="array" ref="G59">INDEX('Owner Pay'!$E$21:$E$83,A59+1)</f>
        <v>0</v>
      </c>
      <c r="H59" s="63">
        <f t="shared" si="2"/>
        <v>186684</v>
      </c>
      <c r="I59" s="63">
        <f t="array" ref="I59">E59+F59-INDEX('Owner Pay'!$D$21:$D$83,A59+1)</f>
        <v>93973.01695</v>
      </c>
      <c r="J59" s="63">
        <f t="array" ref="J59">INDEX('Owner Pay'!$L$21:$L$83,A59+1)</f>
        <v>0</v>
      </c>
      <c r="K59" s="63">
        <f t="array" ref="K59">INDEX('Owner Pay'!$U$21:$U$83,A59+1)+INDEX('Owner Pay'!$V$21:$V$83,A59+1)</f>
        <v>0</v>
      </c>
      <c r="L59" s="63">
        <f t="array" ref="L59">INDEX('Owner Pay'!$R$21:$R$83,A59+1)</f>
        <v>19756.5361</v>
      </c>
      <c r="M59" s="63">
        <f t="array" ref="M59">INDEX('Owner Pay'!$P$21:$P$83,A59+1)</f>
        <v>0</v>
      </c>
      <c r="N59" s="63">
        <f t="shared" si="3"/>
        <v>113729.5531</v>
      </c>
      <c r="O59" s="63">
        <f t="shared" si="4"/>
        <v>72954.44695</v>
      </c>
      <c r="P59" s="63">
        <f t="array" ref="P59">INDEX('Owner Pay'!$F$21:$F$83,A59+1)</f>
        <v>966181.3843</v>
      </c>
      <c r="Q59" s="63">
        <f t="array" ref="Q59">INDEX('Owner Pay'!$Z$21:$Z$83,A59+1)</f>
        <v>1039135.831</v>
      </c>
      <c r="R59" s="63">
        <f t="array" ref="R59">INDEX('Owner Pay'!$Y$21:$Y$83,A59+1)</f>
        <v>0</v>
      </c>
      <c r="S59" s="62" t="str">
        <f t="array" ref="S59">INDEX('Monthly Base'!$AD$5:$AD$67,A59+1)</f>
        <v/>
      </c>
      <c r="T59" s="62" t="str">
        <f>IF(C59=0,"BUILD",IF(Q59&lt;Inputs!$B$80,"BELOW RESERVE","OK"))</f>
        <v>OK</v>
      </c>
    </row>
    <row r="60">
      <c r="A60" s="64">
        <f t="shared" si="1"/>
        <v>53</v>
      </c>
      <c r="B60" s="64" t="str">
        <f t="array" ref="B60">INDEX('Owner Pay'!$B$21:$B$83,A60+1)</f>
        <v>OPEN</v>
      </c>
      <c r="C60" s="64">
        <f t="array" ref="C60">INDEX('Owner Pay'!$C$21:$C$83,A60+1)</f>
        <v>51</v>
      </c>
      <c r="D60" s="64">
        <f t="array" ref="D60">INDEX('Monthly Base'!$G$5:$G$67,A60+1)</f>
        <v>813</v>
      </c>
      <c r="E60" s="63">
        <f t="array" ref="E60">INDEX('Monthly Base'!$I$5:$I$67,A60+1)</f>
        <v>181299</v>
      </c>
      <c r="F60" s="63">
        <f t="array" ref="F60">INDEX('Monthly Base'!$J$5:$J$67,A60+1)</f>
        <v>6500</v>
      </c>
      <c r="G60" s="63">
        <f t="array" ref="G60">INDEX('Owner Pay'!$E$21:$E$83,A60+1)</f>
        <v>0</v>
      </c>
      <c r="H60" s="63">
        <f t="shared" si="2"/>
        <v>187799</v>
      </c>
      <c r="I60" s="63">
        <f t="array" ref="I60">E60+F60-INDEX('Owner Pay'!$D$21:$D$83,A60+1)</f>
        <v>94152.55085</v>
      </c>
      <c r="J60" s="63">
        <f t="array" ref="J60">INDEX('Owner Pay'!$L$21:$L$83,A60+1)</f>
        <v>0</v>
      </c>
      <c r="K60" s="63">
        <f t="array" ref="K60">INDEX('Owner Pay'!$U$21:$U$83,A60+1)+INDEX('Owner Pay'!$V$21:$V$83,A60+1)</f>
        <v>0</v>
      </c>
      <c r="L60" s="63">
        <f t="array" ref="L60">INDEX('Owner Pay'!$R$21:$R$83,A60+1)</f>
        <v>19971.69331</v>
      </c>
      <c r="M60" s="63">
        <f t="array" ref="M60">INDEX('Owner Pay'!$P$21:$P$83,A60+1)</f>
        <v>0</v>
      </c>
      <c r="N60" s="63">
        <f t="shared" si="3"/>
        <v>114124.2442</v>
      </c>
      <c r="O60" s="63">
        <f t="shared" si="4"/>
        <v>73674.75585</v>
      </c>
      <c r="P60" s="63">
        <f t="array" ref="P60">INDEX('Owner Pay'!$F$21:$F$83,A60+1)</f>
        <v>1039135.831</v>
      </c>
      <c r="Q60" s="63">
        <f t="array" ref="Q60">INDEX('Owner Pay'!$Z$21:$Z$83,A60+1)</f>
        <v>1112810.587</v>
      </c>
      <c r="R60" s="63">
        <f t="array" ref="R60">INDEX('Owner Pay'!$Y$21:$Y$83,A60+1)</f>
        <v>0</v>
      </c>
      <c r="S60" s="62" t="str">
        <f t="array" ref="S60">INDEX('Monthly Base'!$AD$5:$AD$67,A60+1)</f>
        <v/>
      </c>
      <c r="T60" s="62" t="str">
        <f>IF(C60=0,"BUILD",IF(Q60&lt;Inputs!$B$80,"BELOW RESERVE","OK"))</f>
        <v>OK</v>
      </c>
    </row>
    <row r="61">
      <c r="A61" s="64">
        <f t="shared" si="1"/>
        <v>54</v>
      </c>
      <c r="B61" s="64" t="str">
        <f t="array" ref="B61">INDEX('Owner Pay'!$B$21:$B$83,A61+1)</f>
        <v>OPEN</v>
      </c>
      <c r="C61" s="64">
        <f t="array" ref="C61">INDEX('Owner Pay'!$C$21:$C$83,A61+1)</f>
        <v>52</v>
      </c>
      <c r="D61" s="64">
        <f t="array" ref="D61">INDEX('Monthly Base'!$G$5:$G$67,A61+1)</f>
        <v>817</v>
      </c>
      <c r="E61" s="63">
        <f t="array" ref="E61">INDEX('Monthly Base'!$I$5:$I$67,A61+1)</f>
        <v>182191</v>
      </c>
      <c r="F61" s="63">
        <f t="array" ref="F61">INDEX('Monthly Base'!$J$5:$J$67,A61+1)</f>
        <v>6500</v>
      </c>
      <c r="G61" s="63">
        <f t="array" ref="G61">INDEX('Owner Pay'!$E$21:$E$83,A61+1)</f>
        <v>0</v>
      </c>
      <c r="H61" s="63">
        <f t="shared" si="2"/>
        <v>188691</v>
      </c>
      <c r="I61" s="63">
        <f t="array" ref="I61">E61+F61-INDEX('Owner Pay'!$D$21:$D$83,A61+1)</f>
        <v>94296.17797</v>
      </c>
      <c r="J61" s="63">
        <f t="array" ref="J61">INDEX('Owner Pay'!$L$21:$L$83,A61+1)</f>
        <v>0</v>
      </c>
      <c r="K61" s="63">
        <f t="array" ref="K61">INDEX('Owner Pay'!$U$21:$U$83,A61+1)+INDEX('Owner Pay'!$V$21:$V$83,A61+1)</f>
        <v>0</v>
      </c>
      <c r="L61" s="63">
        <f t="array" ref="L61">INDEX('Owner Pay'!$R$21:$R$83,A61+1)</f>
        <v>20143.81907</v>
      </c>
      <c r="M61" s="63">
        <f t="array" ref="M61">INDEX('Owner Pay'!$P$21:$P$83,A61+1)</f>
        <v>0</v>
      </c>
      <c r="N61" s="63">
        <f t="shared" si="3"/>
        <v>114439.997</v>
      </c>
      <c r="O61" s="63">
        <f t="shared" si="4"/>
        <v>74251.00297</v>
      </c>
      <c r="P61" s="63">
        <f t="array" ref="P61">INDEX('Owner Pay'!$F$21:$F$83,A61+1)</f>
        <v>1112810.587</v>
      </c>
      <c r="Q61" s="63">
        <f t="array" ref="Q61">INDEX('Owner Pay'!$Z$21:$Z$83,A61+1)</f>
        <v>1187061.59</v>
      </c>
      <c r="R61" s="63">
        <f t="array" ref="R61">INDEX('Owner Pay'!$Y$21:$Y$83,A61+1)</f>
        <v>0</v>
      </c>
      <c r="S61" s="62" t="str">
        <f t="array" ref="S61">INDEX('Monthly Base'!$AD$5:$AD$67,A61+1)</f>
        <v/>
      </c>
      <c r="T61" s="62" t="str">
        <f>IF(C61=0,"BUILD",IF(Q61&lt;Inputs!$B$80,"BELOW RESERVE","OK"))</f>
        <v>OK</v>
      </c>
    </row>
    <row r="62">
      <c r="A62" s="64">
        <f t="shared" si="1"/>
        <v>55</v>
      </c>
      <c r="B62" s="64" t="str">
        <f t="array" ref="B62">INDEX('Owner Pay'!$B$21:$B$83,A62+1)</f>
        <v>OPEN</v>
      </c>
      <c r="C62" s="64">
        <f t="array" ref="C62">INDEX('Owner Pay'!$C$21:$C$83,A62+1)</f>
        <v>53</v>
      </c>
      <c r="D62" s="64">
        <f t="array" ref="D62">INDEX('Monthly Base'!$G$5:$G$67,A62+1)</f>
        <v>821</v>
      </c>
      <c r="E62" s="63">
        <f t="array" ref="E62">INDEX('Monthly Base'!$I$5:$I$67,A62+1)</f>
        <v>183083</v>
      </c>
      <c r="F62" s="63">
        <f t="array" ref="F62">INDEX('Monthly Base'!$J$5:$J$67,A62+1)</f>
        <v>6500</v>
      </c>
      <c r="G62" s="63">
        <f t="array" ref="G62">INDEX('Owner Pay'!$E$21:$E$83,A62+1)</f>
        <v>0</v>
      </c>
      <c r="H62" s="63">
        <f t="shared" si="2"/>
        <v>189583</v>
      </c>
      <c r="I62" s="63">
        <f t="array" ref="I62">E62+F62-INDEX('Owner Pay'!$D$21:$D$83,A62+1)</f>
        <v>94439.80508</v>
      </c>
      <c r="J62" s="63">
        <f t="array" ref="J62">INDEX('Owner Pay'!$L$21:$L$83,A62+1)</f>
        <v>0</v>
      </c>
      <c r="K62" s="63">
        <f t="array" ref="K62">INDEX('Owner Pay'!$U$21:$U$83,A62+1)+INDEX('Owner Pay'!$V$21:$V$83,A62+1)</f>
        <v>0</v>
      </c>
      <c r="L62" s="63">
        <f t="array" ref="L62">INDEX('Owner Pay'!$R$21:$R$83,A62+1)</f>
        <v>20315.94483</v>
      </c>
      <c r="M62" s="63">
        <f t="array" ref="M62">INDEX('Owner Pay'!$P$21:$P$83,A62+1)</f>
        <v>0</v>
      </c>
      <c r="N62" s="63">
        <f t="shared" si="3"/>
        <v>114755.7499</v>
      </c>
      <c r="O62" s="63">
        <f t="shared" si="4"/>
        <v>74827.25008</v>
      </c>
      <c r="P62" s="63">
        <f t="array" ref="P62">INDEX('Owner Pay'!$F$21:$F$83,A62+1)</f>
        <v>1187061.59</v>
      </c>
      <c r="Q62" s="63">
        <f t="array" ref="Q62">INDEX('Owner Pay'!$Z$21:$Z$83,A62+1)</f>
        <v>1261888.84</v>
      </c>
      <c r="R62" s="63">
        <f t="array" ref="R62">INDEX('Owner Pay'!$Y$21:$Y$83,A62+1)</f>
        <v>0</v>
      </c>
      <c r="S62" s="62" t="str">
        <f t="array" ref="S62">INDEX('Monthly Base'!$AD$5:$AD$67,A62+1)</f>
        <v/>
      </c>
      <c r="T62" s="62" t="str">
        <f>IF(C62=0,"BUILD",IF(Q62&lt;Inputs!$B$80,"BELOW RESERVE","OK"))</f>
        <v>OK</v>
      </c>
    </row>
    <row r="63">
      <c r="A63" s="64">
        <f t="shared" si="1"/>
        <v>56</v>
      </c>
      <c r="B63" s="64" t="str">
        <f t="array" ref="B63">INDEX('Owner Pay'!$B$21:$B$83,A63+1)</f>
        <v>OPEN</v>
      </c>
      <c r="C63" s="64">
        <f t="array" ref="C63">INDEX('Owner Pay'!$C$21:$C$83,A63+1)</f>
        <v>54</v>
      </c>
      <c r="D63" s="64">
        <f t="array" ref="D63">INDEX('Monthly Base'!$G$5:$G$67,A63+1)</f>
        <v>825</v>
      </c>
      <c r="E63" s="63">
        <f t="array" ref="E63">INDEX('Monthly Base'!$I$5:$I$67,A63+1)</f>
        <v>183975</v>
      </c>
      <c r="F63" s="63">
        <f t="array" ref="F63">INDEX('Monthly Base'!$J$5:$J$67,A63+1)</f>
        <v>6500</v>
      </c>
      <c r="G63" s="63">
        <f t="array" ref="G63">INDEX('Owner Pay'!$E$21:$E$83,A63+1)</f>
        <v>0</v>
      </c>
      <c r="H63" s="63">
        <f t="shared" si="2"/>
        <v>190475</v>
      </c>
      <c r="I63" s="63">
        <f t="array" ref="I63">E63+F63-INDEX('Owner Pay'!$D$21:$D$83,A63+1)</f>
        <v>94583.4322</v>
      </c>
      <c r="J63" s="63">
        <f t="array" ref="J63">INDEX('Owner Pay'!$L$21:$L$83,A63+1)</f>
        <v>0</v>
      </c>
      <c r="K63" s="63">
        <f t="array" ref="K63">INDEX('Owner Pay'!$U$21:$U$83,A63+1)+INDEX('Owner Pay'!$V$21:$V$83,A63+1)</f>
        <v>0</v>
      </c>
      <c r="L63" s="63">
        <f t="array" ref="L63">INDEX('Owner Pay'!$R$21:$R$83,A63+1)</f>
        <v>20488.07059</v>
      </c>
      <c r="M63" s="63">
        <f t="array" ref="M63">INDEX('Owner Pay'!$P$21:$P$83,A63+1)</f>
        <v>0</v>
      </c>
      <c r="N63" s="63">
        <f t="shared" si="3"/>
        <v>115071.5028</v>
      </c>
      <c r="O63" s="63">
        <f t="shared" si="4"/>
        <v>75403.4972</v>
      </c>
      <c r="P63" s="63">
        <f t="array" ref="P63">INDEX('Owner Pay'!$F$21:$F$83,A63+1)</f>
        <v>1261888.84</v>
      </c>
      <c r="Q63" s="63">
        <f t="array" ref="Q63">INDEX('Owner Pay'!$Z$21:$Z$83,A63+1)</f>
        <v>1337292.337</v>
      </c>
      <c r="R63" s="63">
        <f t="array" ref="R63">INDEX('Owner Pay'!$Y$21:$Y$83,A63+1)</f>
        <v>0</v>
      </c>
      <c r="S63" s="62" t="str">
        <f t="array" ref="S63">INDEX('Monthly Base'!$AD$5:$AD$67,A63+1)</f>
        <v/>
      </c>
      <c r="T63" s="62" t="str">
        <f>IF(C63=0,"BUILD",IF(Q63&lt;Inputs!$B$80,"BELOW RESERVE","OK"))</f>
        <v>OK</v>
      </c>
    </row>
    <row r="64">
      <c r="A64" s="64">
        <f t="shared" si="1"/>
        <v>57</v>
      </c>
      <c r="B64" s="64" t="str">
        <f t="array" ref="B64">INDEX('Owner Pay'!$B$21:$B$83,A64+1)</f>
        <v>OPEN</v>
      </c>
      <c r="C64" s="64">
        <f t="array" ref="C64">INDEX('Owner Pay'!$C$21:$C$83,A64+1)</f>
        <v>55</v>
      </c>
      <c r="D64" s="64">
        <f t="array" ref="D64">INDEX('Monthly Base'!$G$5:$G$67,A64+1)</f>
        <v>829</v>
      </c>
      <c r="E64" s="63">
        <f t="array" ref="E64">INDEX('Monthly Base'!$I$5:$I$67,A64+1)</f>
        <v>184867</v>
      </c>
      <c r="F64" s="63">
        <f t="array" ref="F64">INDEX('Monthly Base'!$J$5:$J$67,A64+1)</f>
        <v>6500</v>
      </c>
      <c r="G64" s="63">
        <f t="array" ref="G64">INDEX('Owner Pay'!$E$21:$E$83,A64+1)</f>
        <v>0</v>
      </c>
      <c r="H64" s="63">
        <f t="shared" si="2"/>
        <v>191367</v>
      </c>
      <c r="I64" s="63">
        <f t="array" ref="I64">E64+F64-INDEX('Owner Pay'!$D$21:$D$83,A64+1)</f>
        <v>94727.05932</v>
      </c>
      <c r="J64" s="63">
        <f t="array" ref="J64">INDEX('Owner Pay'!$L$21:$L$83,A64+1)</f>
        <v>0</v>
      </c>
      <c r="K64" s="63">
        <f t="array" ref="K64">INDEX('Owner Pay'!$U$21:$U$83,A64+1)+INDEX('Owner Pay'!$V$21:$V$83,A64+1)</f>
        <v>0</v>
      </c>
      <c r="L64" s="63">
        <f t="array" ref="L64">INDEX('Owner Pay'!$R$21:$R$83,A64+1)</f>
        <v>20660.19636</v>
      </c>
      <c r="M64" s="63">
        <f t="array" ref="M64">INDEX('Owner Pay'!$P$21:$P$83,A64+1)</f>
        <v>0</v>
      </c>
      <c r="N64" s="63">
        <f t="shared" si="3"/>
        <v>115387.2557</v>
      </c>
      <c r="O64" s="63">
        <f t="shared" si="4"/>
        <v>75979.74432</v>
      </c>
      <c r="P64" s="63">
        <f t="array" ref="P64">INDEX('Owner Pay'!$F$21:$F$83,A64+1)</f>
        <v>1337292.337</v>
      </c>
      <c r="Q64" s="63">
        <f t="array" ref="Q64">INDEX('Owner Pay'!$Z$21:$Z$83,A64+1)</f>
        <v>1413272.082</v>
      </c>
      <c r="R64" s="63">
        <f t="array" ref="R64">INDEX('Owner Pay'!$Y$21:$Y$83,A64+1)</f>
        <v>0</v>
      </c>
      <c r="S64" s="62" t="str">
        <f t="array" ref="S64">INDEX('Monthly Base'!$AD$5:$AD$67,A64+1)</f>
        <v/>
      </c>
      <c r="T64" s="62" t="str">
        <f>IF(C64=0,"BUILD",IF(Q64&lt;Inputs!$B$80,"BELOW RESERVE","OK"))</f>
        <v>OK</v>
      </c>
    </row>
    <row r="65">
      <c r="A65" s="64">
        <f t="shared" si="1"/>
        <v>58</v>
      </c>
      <c r="B65" s="64" t="str">
        <f t="array" ref="B65">INDEX('Owner Pay'!$B$21:$B$83,A65+1)</f>
        <v>OPEN</v>
      </c>
      <c r="C65" s="64">
        <f t="array" ref="C65">INDEX('Owner Pay'!$C$21:$C$83,A65+1)</f>
        <v>56</v>
      </c>
      <c r="D65" s="64">
        <f t="array" ref="D65">INDEX('Monthly Base'!$G$5:$G$67,A65+1)</f>
        <v>833</v>
      </c>
      <c r="E65" s="63">
        <f t="array" ref="E65">INDEX('Monthly Base'!$I$5:$I$67,A65+1)</f>
        <v>185759</v>
      </c>
      <c r="F65" s="63">
        <f t="array" ref="F65">INDEX('Monthly Base'!$J$5:$J$67,A65+1)</f>
        <v>6500</v>
      </c>
      <c r="G65" s="63">
        <f t="array" ref="G65">INDEX('Owner Pay'!$E$21:$E$83,A65+1)</f>
        <v>0</v>
      </c>
      <c r="H65" s="63">
        <f t="shared" si="2"/>
        <v>192259</v>
      </c>
      <c r="I65" s="63">
        <f t="array" ref="I65">E65+F65-INDEX('Owner Pay'!$D$21:$D$83,A65+1)</f>
        <v>94870.68644</v>
      </c>
      <c r="J65" s="63">
        <f t="array" ref="J65">INDEX('Owner Pay'!$L$21:$L$83,A65+1)</f>
        <v>0</v>
      </c>
      <c r="K65" s="63">
        <f t="array" ref="K65">INDEX('Owner Pay'!$U$21:$U$83,A65+1)+INDEX('Owner Pay'!$V$21:$V$83,A65+1)</f>
        <v>0</v>
      </c>
      <c r="L65" s="63">
        <f t="array" ref="L65">INDEX('Owner Pay'!$R$21:$R$83,A65+1)</f>
        <v>20832.32212</v>
      </c>
      <c r="M65" s="63">
        <f t="array" ref="M65">INDEX('Owner Pay'!$P$21:$P$83,A65+1)</f>
        <v>0</v>
      </c>
      <c r="N65" s="63">
        <f t="shared" si="3"/>
        <v>115703.0086</v>
      </c>
      <c r="O65" s="63">
        <f t="shared" si="4"/>
        <v>76555.99144</v>
      </c>
      <c r="P65" s="63">
        <f t="array" ref="P65">INDEX('Owner Pay'!$F$21:$F$83,A65+1)</f>
        <v>1413272.082</v>
      </c>
      <c r="Q65" s="63">
        <f t="array" ref="Q65">INDEX('Owner Pay'!$Z$21:$Z$83,A65+1)</f>
        <v>1489828.073</v>
      </c>
      <c r="R65" s="63">
        <f t="array" ref="R65">INDEX('Owner Pay'!$Y$21:$Y$83,A65+1)</f>
        <v>0</v>
      </c>
      <c r="S65" s="62" t="str">
        <f t="array" ref="S65">INDEX('Monthly Base'!$AD$5:$AD$67,A65+1)</f>
        <v/>
      </c>
      <c r="T65" s="62" t="str">
        <f>IF(C65=0,"BUILD",IF(Q65&lt;Inputs!$B$80,"BELOW RESERVE","OK"))</f>
        <v>OK</v>
      </c>
    </row>
    <row r="66">
      <c r="A66" s="64">
        <f t="shared" si="1"/>
        <v>59</v>
      </c>
      <c r="B66" s="64" t="str">
        <f t="array" ref="B66">INDEX('Owner Pay'!$B$21:$B$83,A66+1)</f>
        <v>OPEN</v>
      </c>
      <c r="C66" s="64">
        <f t="array" ref="C66">INDEX('Owner Pay'!$C$21:$C$83,A66+1)</f>
        <v>57</v>
      </c>
      <c r="D66" s="64">
        <f t="array" ref="D66">INDEX('Monthly Base'!$G$5:$G$67,A66+1)</f>
        <v>838</v>
      </c>
      <c r="E66" s="63">
        <f t="array" ref="E66">INDEX('Monthly Base'!$I$5:$I$67,A66+1)</f>
        <v>186874</v>
      </c>
      <c r="F66" s="63">
        <f t="array" ref="F66">INDEX('Monthly Base'!$J$5:$J$67,A66+1)</f>
        <v>6500</v>
      </c>
      <c r="G66" s="63">
        <f t="array" ref="G66">INDEX('Owner Pay'!$E$21:$E$83,A66+1)</f>
        <v>0</v>
      </c>
      <c r="H66" s="63">
        <f t="shared" si="2"/>
        <v>193374</v>
      </c>
      <c r="I66" s="63">
        <f t="array" ref="I66">E66+F66-INDEX('Owner Pay'!$D$21:$D$83,A66+1)</f>
        <v>95050.22034</v>
      </c>
      <c r="J66" s="63">
        <f t="array" ref="J66">INDEX('Owner Pay'!$L$21:$L$83,A66+1)</f>
        <v>0</v>
      </c>
      <c r="K66" s="63">
        <f t="array" ref="K66">INDEX('Owner Pay'!$U$21:$U$83,A66+1)+INDEX('Owner Pay'!$V$21:$V$83,A66+1)</f>
        <v>0</v>
      </c>
      <c r="L66" s="63">
        <f t="array" ref="L66">INDEX('Owner Pay'!$R$21:$R$83,A66+1)</f>
        <v>21047.47932</v>
      </c>
      <c r="M66" s="63">
        <f t="array" ref="M66">INDEX('Owner Pay'!$P$21:$P$83,A66+1)</f>
        <v>0</v>
      </c>
      <c r="N66" s="63">
        <f t="shared" si="3"/>
        <v>116097.6997</v>
      </c>
      <c r="O66" s="63">
        <f t="shared" si="4"/>
        <v>77276.30034</v>
      </c>
      <c r="P66" s="63">
        <f t="array" ref="P66">INDEX('Owner Pay'!$F$21:$F$83,A66+1)</f>
        <v>1489828.073</v>
      </c>
      <c r="Q66" s="63">
        <f t="array" ref="Q66">INDEX('Owner Pay'!$Z$21:$Z$83,A66+1)</f>
        <v>1567104.373</v>
      </c>
      <c r="R66" s="63">
        <f t="array" ref="R66">INDEX('Owner Pay'!$Y$21:$Y$83,A66+1)</f>
        <v>0</v>
      </c>
      <c r="S66" s="62" t="str">
        <f t="array" ref="S66">INDEX('Monthly Base'!$AD$5:$AD$67,A66+1)</f>
        <v/>
      </c>
      <c r="T66" s="62" t="str">
        <f>IF(C66=0,"BUILD",IF(Q66&lt;Inputs!$B$80,"BELOW RESERVE","OK"))</f>
        <v>OK</v>
      </c>
    </row>
    <row r="67">
      <c r="A67" s="64">
        <f t="shared" si="1"/>
        <v>60</v>
      </c>
      <c r="B67" s="64" t="str">
        <f t="array" ref="B67">INDEX('Owner Pay'!$B$21:$B$83,A67+1)</f>
        <v>OPEN</v>
      </c>
      <c r="C67" s="64">
        <f t="array" ref="C67">INDEX('Owner Pay'!$C$21:$C$83,A67+1)</f>
        <v>58</v>
      </c>
      <c r="D67" s="64">
        <f t="array" ref="D67">INDEX('Monthly Base'!$G$5:$G$67,A67+1)</f>
        <v>842</v>
      </c>
      <c r="E67" s="63">
        <f t="array" ref="E67">INDEX('Monthly Base'!$I$5:$I$67,A67+1)</f>
        <v>187766</v>
      </c>
      <c r="F67" s="63">
        <f t="array" ref="F67">INDEX('Monthly Base'!$J$5:$J$67,A67+1)</f>
        <v>6500</v>
      </c>
      <c r="G67" s="63">
        <f t="array" ref="G67">INDEX('Owner Pay'!$E$21:$E$83,A67+1)</f>
        <v>0</v>
      </c>
      <c r="H67" s="63">
        <f t="shared" si="2"/>
        <v>194266</v>
      </c>
      <c r="I67" s="63">
        <f t="array" ref="I67">E67+F67-INDEX('Owner Pay'!$D$21:$D$83,A67+1)</f>
        <v>95193.84746</v>
      </c>
      <c r="J67" s="63">
        <f t="array" ref="J67">INDEX('Owner Pay'!$L$21:$L$83,A67+1)</f>
        <v>0</v>
      </c>
      <c r="K67" s="63">
        <f t="array" ref="K67">INDEX('Owner Pay'!$U$21:$U$83,A67+1)+INDEX('Owner Pay'!$V$21:$V$83,A67+1)</f>
        <v>0</v>
      </c>
      <c r="L67" s="63">
        <f t="array" ref="L67">INDEX('Owner Pay'!$R$21:$R$83,A67+1)</f>
        <v>21219.60508</v>
      </c>
      <c r="M67" s="63">
        <f t="array" ref="M67">INDEX('Owner Pay'!$P$21:$P$83,A67+1)</f>
        <v>0</v>
      </c>
      <c r="N67" s="63">
        <f t="shared" si="3"/>
        <v>116413.4525</v>
      </c>
      <c r="O67" s="63">
        <f t="shared" si="4"/>
        <v>77852.54746</v>
      </c>
      <c r="P67" s="63">
        <f t="array" ref="P67">INDEX('Owner Pay'!$F$21:$F$83,A67+1)</f>
        <v>1567104.373</v>
      </c>
      <c r="Q67" s="63">
        <f t="array" ref="Q67">INDEX('Owner Pay'!$Z$21:$Z$83,A67+1)</f>
        <v>1644956.921</v>
      </c>
      <c r="R67" s="63">
        <f t="array" ref="R67">INDEX('Owner Pay'!$Y$21:$Y$83,A67+1)</f>
        <v>0</v>
      </c>
      <c r="S67" s="62" t="str">
        <f t="array" ref="S67">INDEX('Monthly Base'!$AD$5:$AD$67,A67+1)</f>
        <v/>
      </c>
      <c r="T67" s="62" t="str">
        <f>IF(C67=0,"BUILD",IF(Q67&lt;Inputs!$B$80,"BELOW RESERVE","OK"))</f>
        <v>OK</v>
      </c>
    </row>
    <row r="68">
      <c r="A68" s="64">
        <f t="shared" si="1"/>
        <v>61</v>
      </c>
      <c r="B68" s="64" t="str">
        <f t="array" ref="B68">INDEX('Owner Pay'!$B$21:$B$83,A68+1)</f>
        <v>OPEN</v>
      </c>
      <c r="C68" s="64">
        <f t="array" ref="C68">INDEX('Owner Pay'!$C$21:$C$83,A68+1)</f>
        <v>59</v>
      </c>
      <c r="D68" s="64">
        <f t="array" ref="D68">INDEX('Monthly Base'!$G$5:$G$67,A68+1)</f>
        <v>846</v>
      </c>
      <c r="E68" s="63">
        <f t="array" ref="E68">INDEX('Monthly Base'!$I$5:$I$67,A68+1)</f>
        <v>188658</v>
      </c>
      <c r="F68" s="63">
        <f t="array" ref="F68">INDEX('Monthly Base'!$J$5:$J$67,A68+1)</f>
        <v>6500</v>
      </c>
      <c r="G68" s="63">
        <f t="array" ref="G68">INDEX('Owner Pay'!$E$21:$E$83,A68+1)</f>
        <v>0</v>
      </c>
      <c r="H68" s="63">
        <f t="shared" si="2"/>
        <v>195158</v>
      </c>
      <c r="I68" s="63">
        <f t="array" ref="I68">E68+F68-INDEX('Owner Pay'!$D$21:$D$83,A68+1)</f>
        <v>95337.47458</v>
      </c>
      <c r="J68" s="63">
        <f t="array" ref="J68">INDEX('Owner Pay'!$L$21:$L$83,A68+1)</f>
        <v>0</v>
      </c>
      <c r="K68" s="63">
        <f t="array" ref="K68">INDEX('Owner Pay'!$U$21:$U$83,A68+1)+INDEX('Owner Pay'!$V$21:$V$83,A68+1)</f>
        <v>0</v>
      </c>
      <c r="L68" s="63">
        <f t="array" ref="L68">INDEX('Owner Pay'!$R$21:$R$83,A68+1)</f>
        <v>21391.73085</v>
      </c>
      <c r="M68" s="63">
        <f t="array" ref="M68">INDEX('Owner Pay'!$P$21:$P$83,A68+1)</f>
        <v>0</v>
      </c>
      <c r="N68" s="63">
        <f t="shared" si="3"/>
        <v>116729.2054</v>
      </c>
      <c r="O68" s="63">
        <f t="shared" si="4"/>
        <v>78428.79458</v>
      </c>
      <c r="P68" s="63">
        <f t="array" ref="P68">INDEX('Owner Pay'!$F$21:$F$83,A68+1)</f>
        <v>1644956.921</v>
      </c>
      <c r="Q68" s="63">
        <f t="array" ref="Q68">INDEX('Owner Pay'!$Z$21:$Z$83,A68+1)</f>
        <v>1723385.715</v>
      </c>
      <c r="R68" s="63">
        <f t="array" ref="R68">INDEX('Owner Pay'!$Y$21:$Y$83,A68+1)</f>
        <v>0</v>
      </c>
      <c r="S68" s="62" t="str">
        <f t="array" ref="S68">INDEX('Monthly Base'!$AD$5:$AD$67,A68+1)</f>
        <v/>
      </c>
      <c r="T68" s="62" t="str">
        <f>IF(C68=0,"BUILD",IF(Q68&lt;Inputs!$B$80,"BELOW RESERVE","OK"))</f>
        <v>OK</v>
      </c>
    </row>
    <row r="69">
      <c r="A69" s="64">
        <f t="shared" si="1"/>
        <v>62</v>
      </c>
      <c r="B69" s="64" t="str">
        <f t="array" ref="B69">INDEX('Owner Pay'!$B$21:$B$83,A69+1)</f>
        <v>OPEN</v>
      </c>
      <c r="C69" s="64">
        <f t="array" ref="C69">INDEX('Owner Pay'!$C$21:$C$83,A69+1)</f>
        <v>60</v>
      </c>
      <c r="D69" s="64">
        <f t="array" ref="D69">INDEX('Monthly Base'!$G$5:$G$67,A69+1)</f>
        <v>850</v>
      </c>
      <c r="E69" s="63">
        <f t="array" ref="E69">INDEX('Monthly Base'!$I$5:$I$67,A69+1)</f>
        <v>189550</v>
      </c>
      <c r="F69" s="63">
        <f t="array" ref="F69">INDEX('Monthly Base'!$J$5:$J$67,A69+1)</f>
        <v>6500</v>
      </c>
      <c r="G69" s="63">
        <f t="array" ref="G69">INDEX('Owner Pay'!$E$21:$E$83,A69+1)</f>
        <v>0</v>
      </c>
      <c r="H69" s="63">
        <f t="shared" si="2"/>
        <v>196050</v>
      </c>
      <c r="I69" s="63">
        <f t="array" ref="I69">E69+F69-INDEX('Owner Pay'!$D$21:$D$83,A69+1)</f>
        <v>95481.10169</v>
      </c>
      <c r="J69" s="63">
        <f t="array" ref="J69">INDEX('Owner Pay'!$L$21:$L$83,A69+1)</f>
        <v>0</v>
      </c>
      <c r="K69" s="63">
        <f t="array" ref="K69">INDEX('Owner Pay'!$U$21:$U$83,A69+1)+INDEX('Owner Pay'!$V$21:$V$83,A69+1)</f>
        <v>0</v>
      </c>
      <c r="L69" s="63">
        <f t="array" ref="L69">INDEX('Owner Pay'!$R$21:$R$83,A69+1)</f>
        <v>21563.85661</v>
      </c>
      <c r="M69" s="63">
        <f t="array" ref="M69">INDEX('Owner Pay'!$P$21:$P$83,A69+1)</f>
        <v>0</v>
      </c>
      <c r="N69" s="63">
        <f t="shared" si="3"/>
        <v>117044.9583</v>
      </c>
      <c r="O69" s="63">
        <f t="shared" si="4"/>
        <v>79005.04169</v>
      </c>
      <c r="P69" s="63">
        <f t="array" ref="P69">INDEX('Owner Pay'!$F$21:$F$83,A69+1)</f>
        <v>1723385.715</v>
      </c>
      <c r="Q69" s="63">
        <f t="array" ref="Q69">INDEX('Owner Pay'!$Z$21:$Z$83,A69+1)</f>
        <v>1802390.757</v>
      </c>
      <c r="R69" s="63">
        <f t="array" ref="R69">INDEX('Owner Pay'!$Y$21:$Y$83,A69+1)</f>
        <v>0</v>
      </c>
      <c r="S69" s="62" t="str">
        <f t="array" ref="S69">INDEX('Monthly Base'!$AD$5:$AD$67,A69+1)</f>
        <v>YEAR END</v>
      </c>
      <c r="T69" s="62" t="str">
        <f>IF(C69=0,"BUILD",IF(Q69&lt;Inputs!$B$80,"BELOW RESERVE","OK"))</f>
        <v>OK</v>
      </c>
    </row>
  </sheetData>
  <autoFilter ref="$A$6:$T$69"/>
  <mergeCells count="3">
    <mergeCell ref="A1:T1"/>
    <mergeCell ref="A2:T2"/>
    <mergeCell ref="A5:T5"/>
  </mergeCells>
  <conditionalFormatting sqref="A7:T69">
    <cfRule type="expression" dxfId="1" priority="1" stopIfTrue="1">
      <formula>$S7="YEAR END"</formula>
    </cfRule>
  </conditionalFormatting>
  <conditionalFormatting sqref="T7:T69">
    <cfRule type="cellIs" dxfId="2" priority="2" stopIfTrue="1" operator="equal">
      <formula>"BELOW RESERVE"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44.0"/>
    <col customWidth="1" min="3" max="3" width="72.0"/>
    <col customWidth="1" min="4" max="4" width="54.0"/>
    <col customWidth="1" min="5" max="26" width="8.63"/>
  </cols>
  <sheetData>
    <row r="1" ht="27.75" customHeight="1">
      <c r="A1" s="4" t="s">
        <v>577</v>
      </c>
    </row>
    <row r="3">
      <c r="A3" s="5" t="s">
        <v>12</v>
      </c>
      <c r="B3" s="5" t="s">
        <v>578</v>
      </c>
      <c r="C3" s="5" t="s">
        <v>579</v>
      </c>
      <c r="D3" s="5" t="s">
        <v>347</v>
      </c>
    </row>
    <row r="4">
      <c r="A4" s="6" t="s">
        <v>580</v>
      </c>
      <c r="B4" s="6" t="s">
        <v>581</v>
      </c>
      <c r="C4" s="6" t="s">
        <v>582</v>
      </c>
      <c r="D4" s="6" t="s">
        <v>583</v>
      </c>
    </row>
    <row r="5">
      <c r="A5" s="6" t="s">
        <v>584</v>
      </c>
      <c r="B5" s="6" t="s">
        <v>585</v>
      </c>
      <c r="C5" s="102" t="s">
        <v>586</v>
      </c>
      <c r="D5" s="6" t="s">
        <v>587</v>
      </c>
    </row>
    <row r="6">
      <c r="A6" s="6" t="s">
        <v>588</v>
      </c>
      <c r="B6" s="6" t="s">
        <v>589</v>
      </c>
      <c r="C6" s="102" t="s">
        <v>590</v>
      </c>
      <c r="D6" s="6" t="s">
        <v>591</v>
      </c>
    </row>
    <row r="7">
      <c r="A7" s="6" t="s">
        <v>592</v>
      </c>
      <c r="B7" s="6" t="s">
        <v>593</v>
      </c>
      <c r="C7" s="6" t="s">
        <v>594</v>
      </c>
      <c r="D7" s="6" t="s">
        <v>595</v>
      </c>
    </row>
    <row r="8">
      <c r="A8" s="6" t="s">
        <v>57</v>
      </c>
      <c r="B8" s="6" t="s">
        <v>596</v>
      </c>
      <c r="C8" s="6" t="s">
        <v>597</v>
      </c>
      <c r="D8" s="6" t="s">
        <v>598</v>
      </c>
    </row>
    <row r="9">
      <c r="A9" s="6" t="s">
        <v>599</v>
      </c>
      <c r="B9" s="6" t="s">
        <v>600</v>
      </c>
      <c r="C9" s="6" t="s">
        <v>601</v>
      </c>
      <c r="D9" s="6" t="s">
        <v>602</v>
      </c>
    </row>
    <row r="10">
      <c r="A10" s="6" t="s">
        <v>603</v>
      </c>
      <c r="B10" s="6" t="s">
        <v>604</v>
      </c>
      <c r="C10" s="6" t="s">
        <v>605</v>
      </c>
      <c r="D10" s="6" t="s">
        <v>606</v>
      </c>
    </row>
    <row r="11">
      <c r="A11" s="6" t="s">
        <v>603</v>
      </c>
      <c r="B11" s="6" t="s">
        <v>607</v>
      </c>
      <c r="C11" s="6" t="s">
        <v>605</v>
      </c>
      <c r="D11" s="6" t="s">
        <v>608</v>
      </c>
    </row>
    <row r="12">
      <c r="A12" s="6" t="s">
        <v>603</v>
      </c>
      <c r="B12" s="6" t="s">
        <v>609</v>
      </c>
      <c r="C12" s="6" t="s">
        <v>605</v>
      </c>
      <c r="D12" s="6" t="s">
        <v>610</v>
      </c>
    </row>
    <row r="13">
      <c r="A13" s="6" t="s">
        <v>611</v>
      </c>
      <c r="B13" s="6" t="s">
        <v>612</v>
      </c>
      <c r="C13" s="6" t="s">
        <v>613</v>
      </c>
      <c r="D13" s="6" t="s">
        <v>614</v>
      </c>
    </row>
    <row r="14">
      <c r="A14" s="6" t="s">
        <v>611</v>
      </c>
      <c r="B14" s="6" t="s">
        <v>20</v>
      </c>
      <c r="C14" s="6" t="s">
        <v>613</v>
      </c>
      <c r="D14" s="6" t="s">
        <v>615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